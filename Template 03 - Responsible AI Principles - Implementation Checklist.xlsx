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HD\Packt Book - AI Governance in Practice\Templates\"/>
    </mc:Choice>
  </mc:AlternateContent>
  <bookViews>
    <workbookView xWindow="0" yWindow="0" windowWidth="19200" windowHeight="6350"/>
  </bookViews>
  <sheets>
    <sheet name="Implementation Checklist" sheetId="1" r:id="rId1"/>
    <sheet name="Implementation Summary" sheetId="2" r:id="rId2"/>
    <sheet name="Overall Status" sheetId="3" r:id="rId3"/>
  </sheets>
  <definedNames>
    <definedName name="_xlnm._FilterDatabase" localSheetId="0" hidden="1">'Implementation Checklist'!$A$1:$J$69</definedName>
    <definedName name="_xlnm._FilterDatabase" localSheetId="1" hidden="1">'Implementation Summary'!$A$1:$G$13</definedName>
  </definedNames>
  <calcPr calcId="162913"/>
</workbook>
</file>

<file path=xl/calcChain.xml><?xml version="1.0" encoding="utf-8"?>
<calcChain xmlns="http://schemas.openxmlformats.org/spreadsheetml/2006/main">
  <c r="B10" i="3" l="1"/>
  <c r="B9" i="3"/>
  <c r="B8" i="3"/>
  <c r="B7" i="3"/>
  <c r="B6" i="3"/>
  <c r="B5" i="3"/>
  <c r="B4" i="3"/>
  <c r="B3" i="3"/>
  <c r="B2" i="3"/>
  <c r="G13" i="2"/>
  <c r="F13" i="2"/>
  <c r="E13" i="2"/>
  <c r="D13" i="2"/>
  <c r="C13" i="2"/>
  <c r="B13" i="2"/>
  <c r="G12" i="2"/>
  <c r="F12" i="2"/>
  <c r="E12" i="2"/>
  <c r="D12" i="2"/>
  <c r="C12" i="2"/>
  <c r="B12" i="2"/>
  <c r="G11" i="2"/>
  <c r="F11" i="2"/>
  <c r="E11" i="2"/>
  <c r="D11" i="2"/>
  <c r="C11" i="2"/>
  <c r="B11" i="2"/>
  <c r="G10" i="2"/>
  <c r="F10" i="2"/>
  <c r="E10" i="2"/>
  <c r="D10" i="2"/>
  <c r="C10" i="2"/>
  <c r="B10" i="2"/>
  <c r="G9" i="2"/>
  <c r="F9" i="2"/>
  <c r="E9" i="2"/>
  <c r="D9" i="2"/>
  <c r="C9" i="2"/>
  <c r="B9" i="2"/>
  <c r="G8" i="2"/>
  <c r="F8" i="2"/>
  <c r="E8" i="2"/>
  <c r="D8" i="2"/>
  <c r="C8" i="2"/>
  <c r="B8" i="2"/>
  <c r="G7" i="2"/>
  <c r="F7" i="2"/>
  <c r="E7" i="2"/>
  <c r="D7" i="2"/>
  <c r="C7" i="2"/>
  <c r="B7" i="2"/>
  <c r="G6" i="2"/>
  <c r="F6" i="2"/>
  <c r="E6" i="2"/>
  <c r="D6" i="2"/>
  <c r="C6" i="2"/>
  <c r="B6" i="2"/>
  <c r="G5" i="2"/>
  <c r="F5" i="2"/>
  <c r="E5" i="2"/>
  <c r="D5" i="2"/>
  <c r="C5" i="2"/>
  <c r="B5" i="2"/>
  <c r="G4" i="2"/>
  <c r="F4" i="2"/>
  <c r="E4" i="2"/>
  <c r="D4" i="2"/>
  <c r="C4" i="2"/>
  <c r="B4" i="2"/>
  <c r="G3" i="2"/>
  <c r="F3" i="2"/>
  <c r="E3" i="2"/>
  <c r="D3" i="2"/>
  <c r="C3" i="2"/>
  <c r="B3" i="2"/>
  <c r="G2" i="2"/>
  <c r="F2" i="2"/>
  <c r="E2" i="2"/>
  <c r="D2" i="2"/>
  <c r="C2" i="2"/>
  <c r="B2" i="2"/>
</calcChain>
</file>

<file path=xl/sharedStrings.xml><?xml version="1.0" encoding="utf-8"?>
<sst xmlns="http://schemas.openxmlformats.org/spreadsheetml/2006/main" count="244" uniqueCount="170">
  <si>
    <t>No.</t>
  </si>
  <si>
    <t>Responsible AI Principle</t>
  </si>
  <si>
    <t>Implementation Requirement</t>
  </si>
  <si>
    <t>Implementation Activity / Action</t>
  </si>
  <si>
    <t>Required Documentation / Evidence</t>
  </si>
  <si>
    <t>Responsible Owner</t>
  </si>
  <si>
    <t>Priority</t>
  </si>
  <si>
    <t>Implementation Status</t>
  </si>
  <si>
    <t>Target Date</t>
  </si>
  <si>
    <t>Remarks</t>
  </si>
  <si>
    <t>Accountability</t>
  </si>
  <si>
    <t>Record the designated owner in the AI inventory.</t>
  </si>
  <si>
    <t>Define responsibilities for business, development, data, security, privacy and compliance teams.</t>
  </si>
  <si>
    <t>Create and approve a RACI matrix.</t>
  </si>
  <si>
    <t>Establish an AI Governance Committee or equivalent oversight mechanism.</t>
  </si>
  <si>
    <t>Define committee membership, authority, responsibilities and meeting frequency.</t>
  </si>
  <si>
    <t>Establish an AI governance escalation process.</t>
  </si>
  <si>
    <t>Document escalation criteria, routes and response responsibilities.</t>
  </si>
  <si>
    <t>Assign owners to AI risks and remediation actions.</t>
  </si>
  <si>
    <t>Maintain an AI risk register with accountable owners and target dates.</t>
  </si>
  <si>
    <t>Fairness and Non-Discrimination</t>
  </si>
  <si>
    <t>Assess AI systems for potential bias and discriminatory outcomes.</t>
  </si>
  <si>
    <t>Perform a fairness and bias impact assessment before deployment.</t>
  </si>
  <si>
    <t>Test AI outcomes across relevant groups.</t>
  </si>
  <si>
    <t>Conduct fairness testing and document results.</t>
  </si>
  <si>
    <t>Establish periodic fairness reassessment.</t>
  </si>
  <si>
    <t>Transparency</t>
  </si>
  <si>
    <t>Document the purpose and intended use of each AI system.</t>
  </si>
  <si>
    <t>Create and maintain AI system documentation.</t>
  </si>
  <si>
    <t>Inform users when they are interacting with AI where appropriate.</t>
  </si>
  <si>
    <t>Implement suitable AI disclosure notices.</t>
  </si>
  <si>
    <t>Document AI capabilities and limitations.</t>
  </si>
  <si>
    <t>Prepare user guidance, system documentation or model cards.</t>
  </si>
  <si>
    <t>Maintain appropriate information about data, models and providers.</t>
  </si>
  <si>
    <t>Maintain AI inventory and technical documentation.</t>
  </si>
  <si>
    <t>Establish change documentation requirements.</t>
  </si>
  <si>
    <t>Record material AI system, model, data and configuration changes.</t>
  </si>
  <si>
    <t>Document how AI is used in business processes.</t>
  </si>
  <si>
    <t>Update process maps and operating procedures.</t>
  </si>
  <si>
    <t>Explainability</t>
  </si>
  <si>
    <t>Identify AI decisions requiring meaningful explanations.</t>
  </si>
  <si>
    <t>Document decision types and explanation requirements.</t>
  </si>
  <si>
    <t>Define how explanations will be provided to affected users where applicable.</t>
  </si>
  <si>
    <t>Create an explanation process and supporting user interfaces.</t>
  </si>
  <si>
    <t>Ensure explanations are understandable to intended audiences.</t>
  </si>
  <si>
    <t>Test explanation usability and comprehension.</t>
  </si>
  <si>
    <t>Reassess explainability after significant changes.</t>
  </si>
  <si>
    <t>Include explainability validation in change management.</t>
  </si>
  <si>
    <t>Privacy and Data Protection</t>
  </si>
  <si>
    <t>Conduct a PIA/DPIA where required.</t>
  </si>
  <si>
    <t>Complete and approve the applicable privacy impact assessment.</t>
  </si>
  <si>
    <t>Establish a lawful basis or appropriate justification for personal-data processing.</t>
  </si>
  <si>
    <t>Document privacy and legal basis for processing.</t>
  </si>
  <si>
    <t>Define purpose limitation requirements.</t>
  </si>
  <si>
    <t>Document permitted purposes and prevent unauthorized secondary use.</t>
  </si>
  <si>
    <t>Implement data minimization.</t>
  </si>
  <si>
    <t>Collect and process only necessary personal data.</t>
  </si>
  <si>
    <t>Protect personal and sensitive data.</t>
  </si>
  <si>
    <t>Implement appropriate encryption, access control, masking and other safeguards.</t>
  </si>
  <si>
    <t>Define retention and deletion requirements.</t>
  </si>
  <si>
    <t>Establish retention schedules and secure deletion procedures.</t>
  </si>
  <si>
    <t>Support applicable individual privacy rights.</t>
  </si>
  <si>
    <t>Document procedures for access, correction, deletion and other applicable rights.</t>
  </si>
  <si>
    <t>Assess third-party AI providers for privacy risks.</t>
  </si>
  <si>
    <t>Perform vendor privacy due diligence and contract reviews.</t>
  </si>
  <si>
    <t>Protect personal data in prompts, inputs and outputs.</t>
  </si>
  <si>
    <t>Implement prompt/data handling rules, DLP and access controls.</t>
  </si>
  <si>
    <t>Security and Resilience</t>
  </si>
  <si>
    <t>Perform an AI-specific security risk assessment.</t>
  </si>
  <si>
    <t>Identify threats to models, data, prompts, APIs and infrastructure.</t>
  </si>
  <si>
    <t>Protect AI assets from unauthorized access.</t>
  </si>
  <si>
    <t>Implement IAM, least privilege and secure administration.</t>
  </si>
  <si>
    <t>Implement authentication and authorization controls.</t>
  </si>
  <si>
    <t>Apply appropriate access controls to AI systems and interfaces.</t>
  </si>
  <si>
    <t>Protect model and data integrity.</t>
  </si>
  <si>
    <t>Implement integrity, version control and change controls.</t>
  </si>
  <si>
    <t>Assess AI-specific threats.</t>
  </si>
  <si>
    <t>Perform threat modeling for poisoning, prompt injection, leakage, manipulation and related threats.</t>
  </si>
  <si>
    <t>Establish vulnerability management.</t>
  </si>
  <si>
    <t>Scan, assess, prioritize and remediate vulnerabilities.</t>
  </si>
  <si>
    <t>Implement AI security logging and monitoring.</t>
  </si>
  <si>
    <t>Configure relevant audit logs, monitoring and alerting.</t>
  </si>
  <si>
    <t>Establish backup and recovery capabilities where appropriate.</t>
  </si>
  <si>
    <t>Document and test backup and recovery procedures.</t>
  </si>
  <si>
    <t>Test resilience.</t>
  </si>
  <si>
    <t>Conduct appropriate continuity, recovery and resilience tests.</t>
  </si>
  <si>
    <t>Safety and Reliability</t>
  </si>
  <si>
    <t>Define performance and reliability requirements.</t>
  </si>
  <si>
    <t>Establish measurable performance, availability and reliability criteria.</t>
  </si>
  <si>
    <t>Define accuracy and other relevant performance metrics.</t>
  </si>
  <si>
    <t>Establish KPIs, thresholds and acceptance criteria.</t>
  </si>
  <si>
    <t>Identify failure scenarios.</t>
  </si>
  <si>
    <t>Perform failure-mode and adverse-outcome analysis.</t>
  </si>
  <si>
    <t>Implement safeguards for harmful outcomes.</t>
  </si>
  <si>
    <t>Deploy technical and procedural safety controls.</t>
  </si>
  <si>
    <t>Establish handling procedures for erroneous or unsafe outputs.</t>
  </si>
  <si>
    <t>Create incident and exception handling procedures.</t>
  </si>
  <si>
    <t>Monitor performance after deployment.</t>
  </si>
  <si>
    <t>Implement production performance monitoring.</t>
  </si>
  <si>
    <t>Human Oversight</t>
  </si>
  <si>
    <t>Define human oversight requirements based on risk.</t>
  </si>
  <si>
    <t>Document required level and type of human oversight.</t>
  </si>
  <si>
    <t>Identify mandatory human intervention points.</t>
  </si>
  <si>
    <t>Embed review and approval points in business processes.</t>
  </si>
  <si>
    <t>Enable authorized override or shutdown where necessary.</t>
  </si>
  <si>
    <t>Implement override, intervention or stop mechanisms.</t>
  </si>
  <si>
    <t>Train personnel responsible for AI oversight.</t>
  </si>
  <si>
    <t>Provide role-specific AI, risk and system training.</t>
  </si>
  <si>
    <t>Define when human review is required.</t>
  </si>
  <si>
    <t>Document review triggers and escalation criteria.</t>
  </si>
  <si>
    <t>Maintain evidence of human review.</t>
  </si>
  <si>
    <t>Implement appropriate review records and audit trails.</t>
  </si>
  <si>
    <t>Provide reviewers sufficient information for informed decisions.</t>
  </si>
  <si>
    <t>Design interfaces and procedures that support meaningful review.</t>
  </si>
  <si>
    <t>Risk-Based Approach</t>
  </si>
  <si>
    <t>Classify AI systems according to risk and intended use.</t>
  </si>
  <si>
    <t>Establish and apply an AI risk classification methodology.</t>
  </si>
  <si>
    <t>Perform an AI risk assessment before deployment.</t>
  </si>
  <si>
    <t>Document risks, impacts, likelihood and controls.</t>
  </si>
  <si>
    <t>Apply enhanced governance to high-risk systems.</t>
  </si>
  <si>
    <t>Define additional testing, approval, documentation and monitoring requirements.</t>
  </si>
  <si>
    <t>Document and approve residual risks.</t>
  </si>
  <si>
    <t>Establish risk acceptance authority and records.</t>
  </si>
  <si>
    <t>Reassess risk after significant changes.</t>
  </si>
  <si>
    <t>Integrate risk reassessment into change management.</t>
  </si>
  <si>
    <t>Ethical and Responsible Use</t>
  </si>
  <si>
    <t>Define intended and prohibited AI use.</t>
  </si>
  <si>
    <t>Establish acceptable-use and prohibited-use requirements.</t>
  </si>
  <si>
    <t>Restrict harmful, inappropriate or unauthorized uses.</t>
  </si>
  <si>
    <t>Implement policy and technical restrictions.</t>
  </si>
  <si>
    <t>Provide responsible AI guidance and training.</t>
  </si>
  <si>
    <t>Deliver employee awareness and role-specific training.</t>
  </si>
  <si>
    <t>Continuous Monitoring and Improvement</t>
  </si>
  <si>
    <t>Establish ongoing AI monitoring.</t>
  </si>
  <si>
    <t>Define monitoring scope, frequency, responsibilities and escalation.</t>
  </si>
  <si>
    <t>Monitor performance, fairness, security and risk indicators.</t>
  </si>
  <si>
    <t>Implement relevant KPIs/KRIs and reporting.</t>
  </si>
  <si>
    <t>Monitor model/data drift where applicable.</t>
  </si>
  <si>
    <t>Define drift metrics, thresholds and response actions.</t>
  </si>
  <si>
    <t>Analyze incidents, complaints and errors.</t>
  </si>
  <si>
    <t>Establish root-cause analysis and trend reporting.</t>
  </si>
  <si>
    <t>Report monitoring results to governance bodies.</t>
  </si>
  <si>
    <t>Define management and committee reporting requirements.</t>
  </si>
  <si>
    <t>Track corrective actions.</t>
  </si>
  <si>
    <t>Maintain an action tracker through closure.</t>
  </si>
  <si>
    <t>Compliance with Laws and Standards</t>
  </si>
  <si>
    <t>Identify applicable laws, regulations and standards.</t>
  </si>
  <si>
    <t>Maintain an AI legal, regulatory and standards register.</t>
  </si>
  <si>
    <t>Incorporate regulatory and contractual requirements into AI requirements.</t>
  </si>
  <si>
    <t>Update system requirements, contracts and controls.</t>
  </si>
  <si>
    <t>Perform periodic AI compliance assessments.</t>
  </si>
  <si>
    <t>Establish compliance review frequency and methodology.</t>
  </si>
  <si>
    <t>Monitor regulatory changes.</t>
  </si>
  <si>
    <t>Assign responsibility for regulatory horizon scanning.</t>
  </si>
  <si>
    <t>Track and remediate compliance gaps.</t>
  </si>
  <si>
    <t>Maintain compliance findings and corrective action plans.</t>
  </si>
  <si>
    <t>Total Requirements</t>
  </si>
  <si>
    <t>Implemented</t>
  </si>
  <si>
    <t>Partially Implemented</t>
  </si>
  <si>
    <t>In Progress</t>
  </si>
  <si>
    <t>Not Started</t>
  </si>
  <si>
    <t>Not Applicable</t>
  </si>
  <si>
    <t>Metric</t>
  </si>
  <si>
    <t>Value</t>
  </si>
  <si>
    <t>Total Implementation Requirements</t>
  </si>
  <si>
    <t>High Priority Items</t>
  </si>
  <si>
    <t>Medium Priority Items</t>
  </si>
  <si>
    <t>Low Priority Items</t>
  </si>
  <si>
    <t>Include periodic fairness monitoring in the post-deployment review process.</t>
  </si>
  <si>
    <t>Assign an Individual Owner for each AI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</si>
</sst>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66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"/>
  <sheetViews>
    <sheetView showGridLines="0" tabSelected="1" workbookViewId="0">
      <pane ySplit="1" topLeftCell="A2" activePane="bottomLeft" state="frozen"/>
      <selection pane="bottomLeft" activeCell="C7" sqref="C7"/>
    </sheetView>
  </sheetViews>
  <sheetFormatPr defaultRowHeight="14.5" x14ac:dyDescent="0.35"/>
  <cols>
    <col min="1" max="1" width="7" customWidth="1"/>
    <col min="2" max="2" width="30" customWidth="1"/>
    <col min="3" max="3" width="55" customWidth="1"/>
    <col min="4" max="4" width="65" customWidth="1"/>
    <col min="5" max="5" width="40" customWidth="1"/>
    <col min="6" max="6" width="25" customWidth="1"/>
    <col min="7" max="7" width="15" customWidth="1"/>
    <col min="8" max="8" width="24" customWidth="1"/>
    <col min="9" max="9" width="16" customWidth="1"/>
    <col min="10" max="10" width="35" customWidth="1"/>
  </cols>
  <sheetData>
    <row r="1" spans="1:10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s="4">
        <v>1</v>
      </c>
      <c r="B2" s="4" t="s">
        <v>10</v>
      </c>
      <c r="C2" s="4" t="s">
        <v>169</v>
      </c>
      <c r="D2" s="4" t="s">
        <v>11</v>
      </c>
      <c r="E2" s="4"/>
      <c r="F2" s="4"/>
      <c r="G2" s="4"/>
      <c r="H2" s="4"/>
      <c r="I2" s="4"/>
      <c r="J2" s="4"/>
    </row>
    <row r="3" spans="1:10" ht="29" x14ac:dyDescent="0.35">
      <c r="A3" s="4">
        <v>2</v>
      </c>
      <c r="B3" s="4" t="s">
        <v>10</v>
      </c>
      <c r="C3" s="4" t="s">
        <v>12</v>
      </c>
      <c r="D3" s="4" t="s">
        <v>13</v>
      </c>
      <c r="E3" s="4"/>
      <c r="F3" s="4"/>
      <c r="G3" s="4"/>
      <c r="H3" s="4"/>
      <c r="I3" s="4"/>
      <c r="J3" s="4"/>
    </row>
    <row r="4" spans="1:10" ht="29" x14ac:dyDescent="0.35">
      <c r="A4" s="4">
        <v>3</v>
      </c>
      <c r="B4" s="4" t="s">
        <v>10</v>
      </c>
      <c r="C4" s="4" t="s">
        <v>14</v>
      </c>
      <c r="D4" s="4" t="s">
        <v>15</v>
      </c>
      <c r="E4" s="4"/>
      <c r="F4" s="4"/>
      <c r="G4" s="4"/>
      <c r="H4" s="4"/>
      <c r="I4" s="4"/>
      <c r="J4" s="4"/>
    </row>
    <row r="5" spans="1:10" x14ac:dyDescent="0.35">
      <c r="A5" s="4">
        <v>4</v>
      </c>
      <c r="B5" s="4" t="s">
        <v>10</v>
      </c>
      <c r="C5" s="4" t="s">
        <v>16</v>
      </c>
      <c r="D5" s="4" t="s">
        <v>17</v>
      </c>
      <c r="E5" s="4"/>
      <c r="F5" s="4"/>
      <c r="G5" s="4"/>
      <c r="H5" s="4"/>
      <c r="I5" s="4"/>
      <c r="J5" s="4"/>
    </row>
    <row r="6" spans="1:10" x14ac:dyDescent="0.35">
      <c r="A6" s="4">
        <v>5</v>
      </c>
      <c r="B6" s="4" t="s">
        <v>10</v>
      </c>
      <c r="C6" s="4" t="s">
        <v>18</v>
      </c>
      <c r="D6" s="4" t="s">
        <v>19</v>
      </c>
      <c r="E6" s="4"/>
      <c r="F6" s="4"/>
      <c r="G6" s="4"/>
      <c r="H6" s="4"/>
      <c r="I6" s="4"/>
      <c r="J6" s="4"/>
    </row>
    <row r="7" spans="1:10" ht="29" x14ac:dyDescent="0.35">
      <c r="A7" s="4">
        <v>6</v>
      </c>
      <c r="B7" s="4" t="s">
        <v>20</v>
      </c>
      <c r="C7" s="4" t="s">
        <v>21</v>
      </c>
      <c r="D7" s="4" t="s">
        <v>22</v>
      </c>
      <c r="E7" s="4"/>
      <c r="F7" s="4"/>
      <c r="G7" s="4"/>
      <c r="H7" s="4"/>
      <c r="I7" s="4"/>
      <c r="J7" s="4"/>
    </row>
    <row r="8" spans="1:10" x14ac:dyDescent="0.35">
      <c r="A8" s="4">
        <v>7</v>
      </c>
      <c r="B8" s="4" t="s">
        <v>20</v>
      </c>
      <c r="C8" s="4" t="s">
        <v>23</v>
      </c>
      <c r="D8" s="4" t="s">
        <v>24</v>
      </c>
      <c r="E8" s="4"/>
      <c r="F8" s="4"/>
      <c r="G8" s="4"/>
      <c r="H8" s="4"/>
      <c r="I8" s="4"/>
      <c r="J8" s="4"/>
    </row>
    <row r="9" spans="1:10" ht="29" x14ac:dyDescent="0.35">
      <c r="A9" s="4">
        <v>8</v>
      </c>
      <c r="B9" s="4" t="s">
        <v>20</v>
      </c>
      <c r="C9" s="4" t="s">
        <v>25</v>
      </c>
      <c r="D9" s="4" t="s">
        <v>168</v>
      </c>
      <c r="E9" s="4"/>
      <c r="F9" s="4"/>
      <c r="G9" s="4"/>
      <c r="H9" s="4"/>
      <c r="I9" s="4"/>
      <c r="J9" s="4"/>
    </row>
    <row r="10" spans="1:10" x14ac:dyDescent="0.35">
      <c r="A10" s="4">
        <v>9</v>
      </c>
      <c r="B10" s="4" t="s">
        <v>26</v>
      </c>
      <c r="C10" s="4" t="s">
        <v>27</v>
      </c>
      <c r="D10" s="4" t="s">
        <v>28</v>
      </c>
      <c r="E10" s="4"/>
      <c r="F10" s="4"/>
      <c r="G10" s="4"/>
      <c r="H10" s="4"/>
      <c r="I10" s="4"/>
      <c r="J10" s="4"/>
    </row>
    <row r="11" spans="1:10" ht="29" x14ac:dyDescent="0.35">
      <c r="A11" s="4">
        <v>10</v>
      </c>
      <c r="B11" s="4" t="s">
        <v>26</v>
      </c>
      <c r="C11" s="4" t="s">
        <v>29</v>
      </c>
      <c r="D11" s="4" t="s">
        <v>30</v>
      </c>
      <c r="E11" s="4"/>
      <c r="F11" s="4"/>
      <c r="G11" s="4"/>
      <c r="H11" s="4"/>
      <c r="I11" s="4"/>
      <c r="J11" s="4"/>
    </row>
    <row r="12" spans="1:10" x14ac:dyDescent="0.35">
      <c r="A12" s="4">
        <v>11</v>
      </c>
      <c r="B12" s="4" t="s">
        <v>26</v>
      </c>
      <c r="C12" s="4" t="s">
        <v>31</v>
      </c>
      <c r="D12" s="4" t="s">
        <v>32</v>
      </c>
      <c r="E12" s="4"/>
      <c r="F12" s="4"/>
      <c r="G12" s="4"/>
      <c r="H12" s="4"/>
      <c r="I12" s="4"/>
      <c r="J12" s="4"/>
    </row>
    <row r="13" spans="1:10" ht="29" x14ac:dyDescent="0.35">
      <c r="A13" s="4">
        <v>12</v>
      </c>
      <c r="B13" s="4" t="s">
        <v>26</v>
      </c>
      <c r="C13" s="4" t="s">
        <v>33</v>
      </c>
      <c r="D13" s="4" t="s">
        <v>34</v>
      </c>
      <c r="E13" s="4"/>
      <c r="F13" s="4"/>
      <c r="G13" s="4"/>
      <c r="H13" s="4"/>
      <c r="I13" s="4"/>
      <c r="J13" s="4"/>
    </row>
    <row r="14" spans="1:10" x14ac:dyDescent="0.35">
      <c r="A14" s="4">
        <v>13</v>
      </c>
      <c r="B14" s="4" t="s">
        <v>26</v>
      </c>
      <c r="C14" s="4" t="s">
        <v>35</v>
      </c>
      <c r="D14" s="4" t="s">
        <v>36</v>
      </c>
      <c r="E14" s="4"/>
      <c r="F14" s="4"/>
      <c r="G14" s="4"/>
      <c r="H14" s="4"/>
      <c r="I14" s="4"/>
      <c r="J14" s="4"/>
    </row>
    <row r="15" spans="1:10" x14ac:dyDescent="0.35">
      <c r="A15" s="4">
        <v>14</v>
      </c>
      <c r="B15" s="4" t="s">
        <v>26</v>
      </c>
      <c r="C15" s="4" t="s">
        <v>37</v>
      </c>
      <c r="D15" s="4" t="s">
        <v>38</v>
      </c>
      <c r="E15" s="4"/>
      <c r="F15" s="4"/>
      <c r="G15" s="4"/>
      <c r="H15" s="4"/>
      <c r="I15" s="4"/>
      <c r="J15" s="4"/>
    </row>
    <row r="16" spans="1:10" x14ac:dyDescent="0.35">
      <c r="A16" s="4">
        <v>15</v>
      </c>
      <c r="B16" s="4" t="s">
        <v>39</v>
      </c>
      <c r="C16" s="4" t="s">
        <v>40</v>
      </c>
      <c r="D16" s="4" t="s">
        <v>41</v>
      </c>
      <c r="E16" s="4"/>
      <c r="F16" s="4"/>
      <c r="G16" s="4"/>
      <c r="H16" s="4"/>
      <c r="I16" s="4"/>
      <c r="J16" s="4"/>
    </row>
    <row r="17" spans="1:10" ht="29" x14ac:dyDescent="0.35">
      <c r="A17" s="4">
        <v>16</v>
      </c>
      <c r="B17" s="4" t="s">
        <v>39</v>
      </c>
      <c r="C17" s="4" t="s">
        <v>42</v>
      </c>
      <c r="D17" s="4" t="s">
        <v>43</v>
      </c>
      <c r="E17" s="4"/>
      <c r="F17" s="4"/>
      <c r="G17" s="4"/>
      <c r="H17" s="4"/>
      <c r="I17" s="4"/>
      <c r="J17" s="4"/>
    </row>
    <row r="18" spans="1:10" x14ac:dyDescent="0.35">
      <c r="A18" s="4">
        <v>17</v>
      </c>
      <c r="B18" s="4" t="s">
        <v>39</v>
      </c>
      <c r="C18" s="4" t="s">
        <v>44</v>
      </c>
      <c r="D18" s="4" t="s">
        <v>45</v>
      </c>
      <c r="E18" s="4"/>
      <c r="F18" s="4"/>
      <c r="G18" s="4"/>
      <c r="H18" s="4"/>
      <c r="I18" s="4"/>
      <c r="J18" s="4"/>
    </row>
    <row r="19" spans="1:10" x14ac:dyDescent="0.35">
      <c r="A19" s="4">
        <v>18</v>
      </c>
      <c r="B19" s="4" t="s">
        <v>39</v>
      </c>
      <c r="C19" s="4" t="s">
        <v>46</v>
      </c>
      <c r="D19" s="4" t="s">
        <v>47</v>
      </c>
      <c r="E19" s="4"/>
      <c r="F19" s="4"/>
      <c r="G19" s="4"/>
      <c r="H19" s="4"/>
      <c r="I19" s="4"/>
      <c r="J19" s="4"/>
    </row>
    <row r="20" spans="1:10" x14ac:dyDescent="0.35">
      <c r="A20" s="4">
        <v>19</v>
      </c>
      <c r="B20" s="4" t="s">
        <v>48</v>
      </c>
      <c r="C20" s="4" t="s">
        <v>49</v>
      </c>
      <c r="D20" s="4" t="s">
        <v>50</v>
      </c>
      <c r="E20" s="4"/>
      <c r="F20" s="4"/>
      <c r="G20" s="4"/>
      <c r="H20" s="4"/>
      <c r="I20" s="4"/>
      <c r="J20" s="4"/>
    </row>
    <row r="21" spans="1:10" ht="29" x14ac:dyDescent="0.35">
      <c r="A21" s="4">
        <v>20</v>
      </c>
      <c r="B21" s="4" t="s">
        <v>48</v>
      </c>
      <c r="C21" s="4" t="s">
        <v>51</v>
      </c>
      <c r="D21" s="4" t="s">
        <v>52</v>
      </c>
      <c r="E21" s="4"/>
      <c r="F21" s="4"/>
      <c r="G21" s="4"/>
      <c r="H21" s="4"/>
      <c r="I21" s="4"/>
      <c r="J21" s="4"/>
    </row>
    <row r="22" spans="1:10" x14ac:dyDescent="0.35">
      <c r="A22" s="4">
        <v>21</v>
      </c>
      <c r="B22" s="4" t="s">
        <v>48</v>
      </c>
      <c r="C22" s="4" t="s">
        <v>53</v>
      </c>
      <c r="D22" s="4" t="s">
        <v>54</v>
      </c>
      <c r="E22" s="4"/>
      <c r="F22" s="4"/>
      <c r="G22" s="4"/>
      <c r="H22" s="4"/>
      <c r="I22" s="4"/>
      <c r="J22" s="4"/>
    </row>
    <row r="23" spans="1:10" x14ac:dyDescent="0.35">
      <c r="A23" s="4">
        <v>22</v>
      </c>
      <c r="B23" s="4" t="s">
        <v>48</v>
      </c>
      <c r="C23" s="4" t="s">
        <v>55</v>
      </c>
      <c r="D23" s="4" t="s">
        <v>56</v>
      </c>
      <c r="E23" s="4"/>
      <c r="F23" s="4"/>
      <c r="G23" s="4"/>
      <c r="H23" s="4"/>
      <c r="I23" s="4"/>
      <c r="J23" s="4"/>
    </row>
    <row r="24" spans="1:10" ht="29" x14ac:dyDescent="0.35">
      <c r="A24" s="4">
        <v>23</v>
      </c>
      <c r="B24" s="4" t="s">
        <v>48</v>
      </c>
      <c r="C24" s="4" t="s">
        <v>57</v>
      </c>
      <c r="D24" s="4" t="s">
        <v>58</v>
      </c>
      <c r="E24" s="4"/>
      <c r="F24" s="4"/>
      <c r="G24" s="4"/>
      <c r="H24" s="4"/>
      <c r="I24" s="4"/>
      <c r="J24" s="4"/>
    </row>
    <row r="25" spans="1:10" x14ac:dyDescent="0.35">
      <c r="A25" s="4">
        <v>24</v>
      </c>
      <c r="B25" s="4" t="s">
        <v>48</v>
      </c>
      <c r="C25" s="4" t="s">
        <v>59</v>
      </c>
      <c r="D25" s="4" t="s">
        <v>60</v>
      </c>
      <c r="E25" s="4"/>
      <c r="F25" s="4"/>
      <c r="G25" s="4"/>
      <c r="H25" s="4"/>
      <c r="I25" s="4"/>
      <c r="J25" s="4"/>
    </row>
    <row r="26" spans="1:10" ht="29" x14ac:dyDescent="0.35">
      <c r="A26" s="4">
        <v>25</v>
      </c>
      <c r="B26" s="4" t="s">
        <v>48</v>
      </c>
      <c r="C26" s="4" t="s">
        <v>61</v>
      </c>
      <c r="D26" s="4" t="s">
        <v>62</v>
      </c>
      <c r="E26" s="4"/>
      <c r="F26" s="4"/>
      <c r="G26" s="4"/>
      <c r="H26" s="4"/>
      <c r="I26" s="4"/>
      <c r="J26" s="4"/>
    </row>
    <row r="27" spans="1:10" x14ac:dyDescent="0.35">
      <c r="A27" s="4">
        <v>26</v>
      </c>
      <c r="B27" s="4" t="s">
        <v>48</v>
      </c>
      <c r="C27" s="4" t="s">
        <v>63</v>
      </c>
      <c r="D27" s="4" t="s">
        <v>64</v>
      </c>
      <c r="E27" s="4"/>
      <c r="F27" s="4"/>
      <c r="G27" s="4"/>
      <c r="H27" s="4"/>
      <c r="I27" s="4"/>
      <c r="J27" s="4"/>
    </row>
    <row r="28" spans="1:10" x14ac:dyDescent="0.35">
      <c r="A28" s="4">
        <v>27</v>
      </c>
      <c r="B28" s="4" t="s">
        <v>48</v>
      </c>
      <c r="C28" s="4" t="s">
        <v>65</v>
      </c>
      <c r="D28" s="4" t="s">
        <v>66</v>
      </c>
      <c r="E28" s="4"/>
      <c r="F28" s="4"/>
      <c r="G28" s="4"/>
      <c r="H28" s="4"/>
      <c r="I28" s="4"/>
      <c r="J28" s="4"/>
    </row>
    <row r="29" spans="1:10" x14ac:dyDescent="0.35">
      <c r="A29" s="4">
        <v>28</v>
      </c>
      <c r="B29" s="4" t="s">
        <v>67</v>
      </c>
      <c r="C29" s="4" t="s">
        <v>68</v>
      </c>
      <c r="D29" s="4" t="s">
        <v>69</v>
      </c>
      <c r="E29" s="4"/>
      <c r="F29" s="4"/>
      <c r="G29" s="4"/>
      <c r="H29" s="4"/>
      <c r="I29" s="4"/>
      <c r="J29" s="4"/>
    </row>
    <row r="30" spans="1:10" x14ac:dyDescent="0.35">
      <c r="A30" s="4">
        <v>29</v>
      </c>
      <c r="B30" s="4" t="s">
        <v>67</v>
      </c>
      <c r="C30" s="4" t="s">
        <v>70</v>
      </c>
      <c r="D30" s="4" t="s">
        <v>71</v>
      </c>
      <c r="E30" s="4"/>
      <c r="F30" s="4"/>
      <c r="G30" s="4"/>
      <c r="H30" s="4"/>
      <c r="I30" s="4"/>
      <c r="J30" s="4"/>
    </row>
    <row r="31" spans="1:10" x14ac:dyDescent="0.35">
      <c r="A31" s="4">
        <v>30</v>
      </c>
      <c r="B31" s="4" t="s">
        <v>67</v>
      </c>
      <c r="C31" s="4" t="s">
        <v>72</v>
      </c>
      <c r="D31" s="4" t="s">
        <v>73</v>
      </c>
      <c r="E31" s="4"/>
      <c r="F31" s="4"/>
      <c r="G31" s="4"/>
      <c r="H31" s="4"/>
      <c r="I31" s="4"/>
      <c r="J31" s="4"/>
    </row>
    <row r="32" spans="1:10" x14ac:dyDescent="0.35">
      <c r="A32" s="4">
        <v>31</v>
      </c>
      <c r="B32" s="4" t="s">
        <v>67</v>
      </c>
      <c r="C32" s="4" t="s">
        <v>74</v>
      </c>
      <c r="D32" s="4" t="s">
        <v>75</v>
      </c>
      <c r="E32" s="4"/>
      <c r="F32" s="4"/>
      <c r="G32" s="4"/>
      <c r="H32" s="4"/>
      <c r="I32" s="4"/>
      <c r="J32" s="4"/>
    </row>
    <row r="33" spans="1:10" ht="29" x14ac:dyDescent="0.35">
      <c r="A33" s="4">
        <v>32</v>
      </c>
      <c r="B33" s="4" t="s">
        <v>67</v>
      </c>
      <c r="C33" s="4" t="s">
        <v>76</v>
      </c>
      <c r="D33" s="4" t="s">
        <v>77</v>
      </c>
      <c r="E33" s="4"/>
      <c r="F33" s="4"/>
      <c r="G33" s="4"/>
      <c r="H33" s="4"/>
      <c r="I33" s="4"/>
      <c r="J33" s="4"/>
    </row>
    <row r="34" spans="1:10" x14ac:dyDescent="0.35">
      <c r="A34" s="4">
        <v>33</v>
      </c>
      <c r="B34" s="4" t="s">
        <v>67</v>
      </c>
      <c r="C34" s="4" t="s">
        <v>78</v>
      </c>
      <c r="D34" s="4" t="s">
        <v>79</v>
      </c>
      <c r="E34" s="4"/>
      <c r="F34" s="4"/>
      <c r="G34" s="4"/>
      <c r="H34" s="4"/>
      <c r="I34" s="4"/>
      <c r="J34" s="4"/>
    </row>
    <row r="35" spans="1:10" x14ac:dyDescent="0.35">
      <c r="A35" s="4">
        <v>34</v>
      </c>
      <c r="B35" s="4" t="s">
        <v>67</v>
      </c>
      <c r="C35" s="4" t="s">
        <v>80</v>
      </c>
      <c r="D35" s="4" t="s">
        <v>81</v>
      </c>
      <c r="E35" s="4"/>
      <c r="F35" s="4"/>
      <c r="G35" s="4"/>
      <c r="H35" s="4"/>
      <c r="I35" s="4"/>
      <c r="J35" s="4"/>
    </row>
    <row r="36" spans="1:10" x14ac:dyDescent="0.35">
      <c r="A36" s="4">
        <v>35</v>
      </c>
      <c r="B36" s="4" t="s">
        <v>67</v>
      </c>
      <c r="C36" s="4" t="s">
        <v>82</v>
      </c>
      <c r="D36" s="4" t="s">
        <v>83</v>
      </c>
      <c r="E36" s="4"/>
      <c r="F36" s="4"/>
      <c r="G36" s="4"/>
      <c r="H36" s="4"/>
      <c r="I36" s="4"/>
      <c r="J36" s="4"/>
    </row>
    <row r="37" spans="1:10" x14ac:dyDescent="0.35">
      <c r="A37" s="4">
        <v>36</v>
      </c>
      <c r="B37" s="4" t="s">
        <v>67</v>
      </c>
      <c r="C37" s="4" t="s">
        <v>84</v>
      </c>
      <c r="D37" s="4" t="s">
        <v>85</v>
      </c>
      <c r="E37" s="4"/>
      <c r="F37" s="4"/>
      <c r="G37" s="4"/>
      <c r="H37" s="4"/>
      <c r="I37" s="4"/>
      <c r="J37" s="4"/>
    </row>
    <row r="38" spans="1:10" x14ac:dyDescent="0.35">
      <c r="A38" s="4">
        <v>37</v>
      </c>
      <c r="B38" s="4" t="s">
        <v>86</v>
      </c>
      <c r="C38" s="4" t="s">
        <v>87</v>
      </c>
      <c r="D38" s="4" t="s">
        <v>88</v>
      </c>
      <c r="E38" s="4"/>
      <c r="F38" s="4"/>
      <c r="G38" s="4"/>
      <c r="H38" s="4"/>
      <c r="I38" s="4"/>
      <c r="J38" s="4"/>
    </row>
    <row r="39" spans="1:10" x14ac:dyDescent="0.35">
      <c r="A39" s="4">
        <v>38</v>
      </c>
      <c r="B39" s="4" t="s">
        <v>86</v>
      </c>
      <c r="C39" s="4" t="s">
        <v>89</v>
      </c>
      <c r="D39" s="4" t="s">
        <v>90</v>
      </c>
      <c r="E39" s="4"/>
      <c r="F39" s="4"/>
      <c r="G39" s="4"/>
      <c r="H39" s="4"/>
      <c r="I39" s="4"/>
      <c r="J39" s="4"/>
    </row>
    <row r="40" spans="1:10" x14ac:dyDescent="0.35">
      <c r="A40" s="4">
        <v>39</v>
      </c>
      <c r="B40" s="4" t="s">
        <v>86</v>
      </c>
      <c r="C40" s="4" t="s">
        <v>91</v>
      </c>
      <c r="D40" s="4" t="s">
        <v>92</v>
      </c>
      <c r="E40" s="4"/>
      <c r="F40" s="4"/>
      <c r="G40" s="4"/>
      <c r="H40" s="4"/>
      <c r="I40" s="4"/>
      <c r="J40" s="4"/>
    </row>
    <row r="41" spans="1:10" x14ac:dyDescent="0.35">
      <c r="A41" s="4">
        <v>40</v>
      </c>
      <c r="B41" s="4" t="s">
        <v>86</v>
      </c>
      <c r="C41" s="4" t="s">
        <v>93</v>
      </c>
      <c r="D41" s="4" t="s">
        <v>94</v>
      </c>
      <c r="E41" s="4"/>
      <c r="F41" s="4"/>
      <c r="G41" s="4"/>
      <c r="H41" s="4"/>
      <c r="I41" s="4"/>
      <c r="J41" s="4"/>
    </row>
    <row r="42" spans="1:10" x14ac:dyDescent="0.35">
      <c r="A42" s="4">
        <v>41</v>
      </c>
      <c r="B42" s="4" t="s">
        <v>86</v>
      </c>
      <c r="C42" s="4" t="s">
        <v>95</v>
      </c>
      <c r="D42" s="4" t="s">
        <v>96</v>
      </c>
      <c r="E42" s="4"/>
      <c r="F42" s="4"/>
      <c r="G42" s="4"/>
      <c r="H42" s="4"/>
      <c r="I42" s="4"/>
      <c r="J42" s="4"/>
    </row>
    <row r="43" spans="1:10" x14ac:dyDescent="0.35">
      <c r="A43" s="4">
        <v>42</v>
      </c>
      <c r="B43" s="4" t="s">
        <v>86</v>
      </c>
      <c r="C43" s="4" t="s">
        <v>97</v>
      </c>
      <c r="D43" s="4" t="s">
        <v>98</v>
      </c>
      <c r="E43" s="4"/>
      <c r="F43" s="4"/>
      <c r="G43" s="4"/>
      <c r="H43" s="4"/>
      <c r="I43" s="4"/>
      <c r="J43" s="4"/>
    </row>
    <row r="44" spans="1:10" x14ac:dyDescent="0.35">
      <c r="A44" s="4">
        <v>43</v>
      </c>
      <c r="B44" s="4" t="s">
        <v>99</v>
      </c>
      <c r="C44" s="4" t="s">
        <v>100</v>
      </c>
      <c r="D44" s="4" t="s">
        <v>101</v>
      </c>
      <c r="E44" s="4"/>
      <c r="F44" s="4"/>
      <c r="G44" s="4"/>
      <c r="H44" s="4"/>
      <c r="I44" s="4"/>
      <c r="J44" s="4"/>
    </row>
    <row r="45" spans="1:10" x14ac:dyDescent="0.35">
      <c r="A45" s="4">
        <v>44</v>
      </c>
      <c r="B45" s="4" t="s">
        <v>99</v>
      </c>
      <c r="C45" s="4" t="s">
        <v>102</v>
      </c>
      <c r="D45" s="4" t="s">
        <v>103</v>
      </c>
      <c r="E45" s="4"/>
      <c r="F45" s="4"/>
      <c r="G45" s="4"/>
      <c r="H45" s="4"/>
      <c r="I45" s="4"/>
      <c r="J45" s="4"/>
    </row>
    <row r="46" spans="1:10" x14ac:dyDescent="0.35">
      <c r="A46" s="4">
        <v>45</v>
      </c>
      <c r="B46" s="4" t="s">
        <v>99</v>
      </c>
      <c r="C46" s="4" t="s">
        <v>104</v>
      </c>
      <c r="D46" s="4" t="s">
        <v>105</v>
      </c>
      <c r="E46" s="4"/>
      <c r="F46" s="4"/>
      <c r="G46" s="4"/>
      <c r="H46" s="4"/>
      <c r="I46" s="4"/>
      <c r="J46" s="4"/>
    </row>
    <row r="47" spans="1:10" x14ac:dyDescent="0.35">
      <c r="A47" s="4">
        <v>46</v>
      </c>
      <c r="B47" s="4" t="s">
        <v>99</v>
      </c>
      <c r="C47" s="4" t="s">
        <v>106</v>
      </c>
      <c r="D47" s="4" t="s">
        <v>107</v>
      </c>
      <c r="E47" s="4"/>
      <c r="F47" s="4"/>
      <c r="G47" s="4"/>
      <c r="H47" s="4"/>
      <c r="I47" s="4"/>
      <c r="J47" s="4"/>
    </row>
    <row r="48" spans="1:10" x14ac:dyDescent="0.35">
      <c r="A48" s="4">
        <v>47</v>
      </c>
      <c r="B48" s="4" t="s">
        <v>99</v>
      </c>
      <c r="C48" s="4" t="s">
        <v>108</v>
      </c>
      <c r="D48" s="4" t="s">
        <v>109</v>
      </c>
      <c r="E48" s="4"/>
      <c r="F48" s="4"/>
      <c r="G48" s="4"/>
      <c r="H48" s="4"/>
      <c r="I48" s="4"/>
      <c r="J48" s="4"/>
    </row>
    <row r="49" spans="1:10" x14ac:dyDescent="0.35">
      <c r="A49" s="4">
        <v>48</v>
      </c>
      <c r="B49" s="4" t="s">
        <v>99</v>
      </c>
      <c r="C49" s="4" t="s">
        <v>110</v>
      </c>
      <c r="D49" s="4" t="s">
        <v>111</v>
      </c>
      <c r="E49" s="4"/>
      <c r="F49" s="4"/>
      <c r="G49" s="4"/>
      <c r="H49" s="4"/>
      <c r="I49" s="4"/>
      <c r="J49" s="4"/>
    </row>
    <row r="50" spans="1:10" x14ac:dyDescent="0.35">
      <c r="A50" s="4">
        <v>49</v>
      </c>
      <c r="B50" s="4" t="s">
        <v>99</v>
      </c>
      <c r="C50" s="4" t="s">
        <v>112</v>
      </c>
      <c r="D50" s="4" t="s">
        <v>113</v>
      </c>
      <c r="E50" s="4"/>
      <c r="F50" s="4"/>
      <c r="G50" s="4"/>
      <c r="H50" s="4"/>
      <c r="I50" s="4"/>
      <c r="J50" s="4"/>
    </row>
    <row r="51" spans="1:10" x14ac:dyDescent="0.35">
      <c r="A51" s="4">
        <v>50</v>
      </c>
      <c r="B51" s="4" t="s">
        <v>114</v>
      </c>
      <c r="C51" s="4" t="s">
        <v>115</v>
      </c>
      <c r="D51" s="4" t="s">
        <v>116</v>
      </c>
      <c r="E51" s="4"/>
      <c r="F51" s="4"/>
      <c r="G51" s="4"/>
      <c r="H51" s="4"/>
      <c r="I51" s="4"/>
      <c r="J51" s="4"/>
    </row>
    <row r="52" spans="1:10" x14ac:dyDescent="0.35">
      <c r="A52" s="4">
        <v>51</v>
      </c>
      <c r="B52" s="4" t="s">
        <v>114</v>
      </c>
      <c r="C52" s="4" t="s">
        <v>117</v>
      </c>
      <c r="D52" s="4" t="s">
        <v>118</v>
      </c>
      <c r="E52" s="4"/>
      <c r="F52" s="4"/>
      <c r="G52" s="4"/>
      <c r="H52" s="4"/>
      <c r="I52" s="4"/>
      <c r="J52" s="4"/>
    </row>
    <row r="53" spans="1:10" ht="29" x14ac:dyDescent="0.35">
      <c r="A53" s="4">
        <v>52</v>
      </c>
      <c r="B53" s="4" t="s">
        <v>114</v>
      </c>
      <c r="C53" s="4" t="s">
        <v>119</v>
      </c>
      <c r="D53" s="4" t="s">
        <v>120</v>
      </c>
      <c r="E53" s="4"/>
      <c r="F53" s="4"/>
      <c r="G53" s="4"/>
      <c r="H53" s="4"/>
      <c r="I53" s="4"/>
      <c r="J53" s="4"/>
    </row>
    <row r="54" spans="1:10" x14ac:dyDescent="0.35">
      <c r="A54" s="4">
        <v>53</v>
      </c>
      <c r="B54" s="4" t="s">
        <v>114</v>
      </c>
      <c r="C54" s="4" t="s">
        <v>121</v>
      </c>
      <c r="D54" s="4" t="s">
        <v>122</v>
      </c>
      <c r="E54" s="4"/>
      <c r="F54" s="4"/>
      <c r="G54" s="4"/>
      <c r="H54" s="4"/>
      <c r="I54" s="4"/>
      <c r="J54" s="4"/>
    </row>
    <row r="55" spans="1:10" x14ac:dyDescent="0.35">
      <c r="A55" s="4">
        <v>54</v>
      </c>
      <c r="B55" s="4" t="s">
        <v>114</v>
      </c>
      <c r="C55" s="4" t="s">
        <v>123</v>
      </c>
      <c r="D55" s="4" t="s">
        <v>124</v>
      </c>
      <c r="E55" s="4"/>
      <c r="F55" s="4"/>
      <c r="G55" s="4"/>
      <c r="H55" s="4"/>
      <c r="I55" s="4"/>
      <c r="J55" s="4"/>
    </row>
    <row r="56" spans="1:10" x14ac:dyDescent="0.35">
      <c r="A56" s="4">
        <v>55</v>
      </c>
      <c r="B56" s="4" t="s">
        <v>125</v>
      </c>
      <c r="C56" s="4" t="s">
        <v>126</v>
      </c>
      <c r="D56" s="4" t="s">
        <v>127</v>
      </c>
      <c r="E56" s="4"/>
      <c r="F56" s="4"/>
      <c r="G56" s="4"/>
      <c r="H56" s="4"/>
      <c r="I56" s="4"/>
      <c r="J56" s="4"/>
    </row>
    <row r="57" spans="1:10" x14ac:dyDescent="0.35">
      <c r="A57" s="4">
        <v>56</v>
      </c>
      <c r="B57" s="4" t="s">
        <v>125</v>
      </c>
      <c r="C57" s="4" t="s">
        <v>128</v>
      </c>
      <c r="D57" s="4" t="s">
        <v>129</v>
      </c>
      <c r="E57" s="4"/>
      <c r="F57" s="4"/>
      <c r="G57" s="4"/>
      <c r="H57" s="4"/>
      <c r="I57" s="4"/>
      <c r="J57" s="4"/>
    </row>
    <row r="58" spans="1:10" x14ac:dyDescent="0.35">
      <c r="A58" s="4">
        <v>57</v>
      </c>
      <c r="B58" s="4" t="s">
        <v>125</v>
      </c>
      <c r="C58" s="4" t="s">
        <v>130</v>
      </c>
      <c r="D58" s="4" t="s">
        <v>131</v>
      </c>
      <c r="E58" s="4"/>
      <c r="F58" s="4"/>
      <c r="G58" s="4"/>
      <c r="H58" s="4"/>
      <c r="I58" s="4"/>
      <c r="J58" s="4"/>
    </row>
    <row r="59" spans="1:10" ht="29" x14ac:dyDescent="0.35">
      <c r="A59" s="4">
        <v>58</v>
      </c>
      <c r="B59" s="4" t="s">
        <v>132</v>
      </c>
      <c r="C59" s="4" t="s">
        <v>133</v>
      </c>
      <c r="D59" s="4" t="s">
        <v>134</v>
      </c>
      <c r="E59" s="4"/>
      <c r="F59" s="4"/>
      <c r="G59" s="4"/>
      <c r="H59" s="4"/>
      <c r="I59" s="4"/>
      <c r="J59" s="4"/>
    </row>
    <row r="60" spans="1:10" ht="29" x14ac:dyDescent="0.35">
      <c r="A60" s="4">
        <v>59</v>
      </c>
      <c r="B60" s="4" t="s">
        <v>132</v>
      </c>
      <c r="C60" s="4" t="s">
        <v>135</v>
      </c>
      <c r="D60" s="4" t="s">
        <v>136</v>
      </c>
      <c r="E60" s="4"/>
      <c r="F60" s="4"/>
      <c r="G60" s="4"/>
      <c r="H60" s="4"/>
      <c r="I60" s="4"/>
      <c r="J60" s="4"/>
    </row>
    <row r="61" spans="1:10" ht="29" x14ac:dyDescent="0.35">
      <c r="A61" s="4">
        <v>60</v>
      </c>
      <c r="B61" s="4" t="s">
        <v>132</v>
      </c>
      <c r="C61" s="4" t="s">
        <v>137</v>
      </c>
      <c r="D61" s="4" t="s">
        <v>138</v>
      </c>
      <c r="E61" s="4"/>
      <c r="F61" s="4"/>
      <c r="G61" s="4"/>
      <c r="H61" s="4"/>
      <c r="I61" s="4"/>
      <c r="J61" s="4"/>
    </row>
    <row r="62" spans="1:10" ht="29" x14ac:dyDescent="0.35">
      <c r="A62" s="4">
        <v>61</v>
      </c>
      <c r="B62" s="4" t="s">
        <v>132</v>
      </c>
      <c r="C62" s="4" t="s">
        <v>139</v>
      </c>
      <c r="D62" s="4" t="s">
        <v>140</v>
      </c>
      <c r="E62" s="4"/>
      <c r="F62" s="4"/>
      <c r="G62" s="4"/>
      <c r="H62" s="4"/>
      <c r="I62" s="4"/>
      <c r="J62" s="4"/>
    </row>
    <row r="63" spans="1:10" ht="29" x14ac:dyDescent="0.35">
      <c r="A63" s="4">
        <v>62</v>
      </c>
      <c r="B63" s="4" t="s">
        <v>132</v>
      </c>
      <c r="C63" s="4" t="s">
        <v>141</v>
      </c>
      <c r="D63" s="4" t="s">
        <v>142</v>
      </c>
      <c r="E63" s="4"/>
      <c r="F63" s="4"/>
      <c r="G63" s="4"/>
      <c r="H63" s="4"/>
      <c r="I63" s="4"/>
      <c r="J63" s="4"/>
    </row>
    <row r="64" spans="1:10" ht="29" x14ac:dyDescent="0.35">
      <c r="A64" s="4">
        <v>63</v>
      </c>
      <c r="B64" s="4" t="s">
        <v>132</v>
      </c>
      <c r="C64" s="4" t="s">
        <v>143</v>
      </c>
      <c r="D64" s="4" t="s">
        <v>144</v>
      </c>
      <c r="E64" s="4"/>
      <c r="F64" s="4"/>
      <c r="G64" s="4"/>
      <c r="H64" s="4"/>
      <c r="I64" s="4"/>
      <c r="J64" s="4"/>
    </row>
    <row r="65" spans="1:10" ht="29" x14ac:dyDescent="0.35">
      <c r="A65" s="4">
        <v>64</v>
      </c>
      <c r="B65" s="4" t="s">
        <v>145</v>
      </c>
      <c r="C65" s="4" t="s">
        <v>146</v>
      </c>
      <c r="D65" s="4" t="s">
        <v>147</v>
      </c>
      <c r="E65" s="4"/>
      <c r="F65" s="4"/>
      <c r="G65" s="4"/>
      <c r="H65" s="4"/>
      <c r="I65" s="4"/>
      <c r="J65" s="4"/>
    </row>
    <row r="66" spans="1:10" ht="29" x14ac:dyDescent="0.35">
      <c r="A66" s="4">
        <v>65</v>
      </c>
      <c r="B66" s="4" t="s">
        <v>145</v>
      </c>
      <c r="C66" s="4" t="s">
        <v>148</v>
      </c>
      <c r="D66" s="4" t="s">
        <v>149</v>
      </c>
      <c r="E66" s="4"/>
      <c r="F66" s="4"/>
      <c r="G66" s="4"/>
      <c r="H66" s="4"/>
      <c r="I66" s="4"/>
      <c r="J66" s="4"/>
    </row>
    <row r="67" spans="1:10" ht="29" x14ac:dyDescent="0.35">
      <c r="A67" s="4">
        <v>66</v>
      </c>
      <c r="B67" s="4" t="s">
        <v>145</v>
      </c>
      <c r="C67" s="4" t="s">
        <v>150</v>
      </c>
      <c r="D67" s="4" t="s">
        <v>151</v>
      </c>
      <c r="E67" s="4"/>
      <c r="F67" s="4"/>
      <c r="G67" s="4"/>
      <c r="H67" s="4"/>
      <c r="I67" s="4"/>
      <c r="J67" s="4"/>
    </row>
    <row r="68" spans="1:10" ht="29" x14ac:dyDescent="0.35">
      <c r="A68" s="4">
        <v>67</v>
      </c>
      <c r="B68" s="4" t="s">
        <v>145</v>
      </c>
      <c r="C68" s="4" t="s">
        <v>152</v>
      </c>
      <c r="D68" s="4" t="s">
        <v>153</v>
      </c>
      <c r="E68" s="4"/>
      <c r="F68" s="4"/>
      <c r="G68" s="4"/>
      <c r="H68" s="4"/>
      <c r="I68" s="4"/>
      <c r="J68" s="4"/>
    </row>
    <row r="69" spans="1:10" ht="29" x14ac:dyDescent="0.35">
      <c r="A69" s="4">
        <v>68</v>
      </c>
      <c r="B69" s="4" t="s">
        <v>145</v>
      </c>
      <c r="C69" s="4" t="s">
        <v>154</v>
      </c>
      <c r="D69" s="4" t="s">
        <v>155</v>
      </c>
      <c r="E69" s="4"/>
      <c r="F69" s="4"/>
      <c r="G69" s="4"/>
      <c r="H69" s="4"/>
      <c r="I69" s="4"/>
      <c r="J69" s="4"/>
    </row>
  </sheetData>
  <autoFilter ref="A1:J69"/>
  <dataValidations count="2">
    <dataValidation type="list" allowBlank="1" sqref="H2:H69">
      <formula1>"Not Started,In Progress,Implemented,Partially Implemented,Not Applicable"</formula1>
    </dataValidation>
    <dataValidation type="list" allowBlank="1" sqref="G2:G69">
      <formula1>"High,Medium,Low"</formula1>
    </dataValidation>
  </dataValidation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showGridLines="0" workbookViewId="0">
      <pane ySplit="1" topLeftCell="A2" activePane="bottomLeft" state="frozen"/>
      <selection pane="bottomLeft" activeCell="B13" sqref="B13"/>
    </sheetView>
  </sheetViews>
  <sheetFormatPr defaultRowHeight="14.5" x14ac:dyDescent="0.35"/>
  <cols>
    <col min="1" max="1" width="35" customWidth="1"/>
    <col min="2" max="2" width="20" customWidth="1"/>
    <col min="3" max="3" width="18" customWidth="1"/>
    <col min="4" max="4" width="25" customWidth="1"/>
    <col min="5" max="6" width="18" customWidth="1"/>
    <col min="7" max="7" width="20" customWidth="1"/>
  </cols>
  <sheetData>
    <row r="1" spans="1:7" x14ac:dyDescent="0.35">
      <c r="A1" s="1" t="s">
        <v>1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</row>
    <row r="2" spans="1:7" x14ac:dyDescent="0.35">
      <c r="A2" t="s">
        <v>10</v>
      </c>
      <c r="B2">
        <f>COUNTIF('Implementation Checklist'!B:B,A2)</f>
        <v>5</v>
      </c>
      <c r="C2">
        <f>COUNTIFS('Implementation Checklist'!B:B,A2,'Implementation Checklist'!H:H,"Implemented")</f>
        <v>0</v>
      </c>
      <c r="D2">
        <f>COUNTIFS('Implementation Checklist'!B:B,A2,'Implementation Checklist'!H:H,"Partially Implemented")</f>
        <v>0</v>
      </c>
      <c r="E2">
        <f>COUNTIFS('Implementation Checklist'!B:B,A2,'Implementation Checklist'!H:H,"In Progress")</f>
        <v>0</v>
      </c>
      <c r="F2">
        <f>COUNTIFS('Implementation Checklist'!B:B,A2,'Implementation Checklist'!H:H,"Not Started")</f>
        <v>0</v>
      </c>
      <c r="G2">
        <f>COUNTIFS('Implementation Checklist'!B:B,A2,'Implementation Checklist'!H:H,"Not Applicable")</f>
        <v>0</v>
      </c>
    </row>
    <row r="3" spans="1:7" x14ac:dyDescent="0.35">
      <c r="A3" t="s">
        <v>20</v>
      </c>
      <c r="B3">
        <f>COUNTIF('Implementation Checklist'!B:B,A3)</f>
        <v>3</v>
      </c>
      <c r="C3">
        <f>COUNTIFS('Implementation Checklist'!B:B,A3,'Implementation Checklist'!H:H,"Implemented")</f>
        <v>0</v>
      </c>
      <c r="D3">
        <f>COUNTIFS('Implementation Checklist'!B:B,A3,'Implementation Checklist'!H:H,"Partially Implemented")</f>
        <v>0</v>
      </c>
      <c r="E3">
        <f>COUNTIFS('Implementation Checklist'!B:B,A3,'Implementation Checklist'!H:H,"In Progress")</f>
        <v>0</v>
      </c>
      <c r="F3">
        <f>COUNTIFS('Implementation Checklist'!B:B,A3,'Implementation Checklist'!H:H,"Not Started")</f>
        <v>0</v>
      </c>
      <c r="G3">
        <f>COUNTIFS('Implementation Checklist'!B:B,A3,'Implementation Checklist'!H:H,"Not Applicable")</f>
        <v>0</v>
      </c>
    </row>
    <row r="4" spans="1:7" x14ac:dyDescent="0.35">
      <c r="A4" t="s">
        <v>26</v>
      </c>
      <c r="B4">
        <f>COUNTIF('Implementation Checklist'!B:B,A4)</f>
        <v>6</v>
      </c>
      <c r="C4">
        <f>COUNTIFS('Implementation Checklist'!B:B,A4,'Implementation Checklist'!H:H,"Implemented")</f>
        <v>0</v>
      </c>
      <c r="D4">
        <f>COUNTIFS('Implementation Checklist'!B:B,A4,'Implementation Checklist'!H:H,"Partially Implemented")</f>
        <v>0</v>
      </c>
      <c r="E4">
        <f>COUNTIFS('Implementation Checklist'!B:B,A4,'Implementation Checklist'!H:H,"In Progress")</f>
        <v>0</v>
      </c>
      <c r="F4">
        <f>COUNTIFS('Implementation Checklist'!B:B,A4,'Implementation Checklist'!H:H,"Not Started")</f>
        <v>0</v>
      </c>
      <c r="G4">
        <f>COUNTIFS('Implementation Checklist'!B:B,A4,'Implementation Checklist'!H:H,"Not Applicable")</f>
        <v>0</v>
      </c>
    </row>
    <row r="5" spans="1:7" x14ac:dyDescent="0.35">
      <c r="A5" t="s">
        <v>39</v>
      </c>
      <c r="B5">
        <f>COUNTIF('Implementation Checklist'!B:B,A5)</f>
        <v>4</v>
      </c>
      <c r="C5">
        <f>COUNTIFS('Implementation Checklist'!B:B,A5,'Implementation Checklist'!H:H,"Implemented")</f>
        <v>0</v>
      </c>
      <c r="D5">
        <f>COUNTIFS('Implementation Checklist'!B:B,A5,'Implementation Checklist'!H:H,"Partially Implemented")</f>
        <v>0</v>
      </c>
      <c r="E5">
        <f>COUNTIFS('Implementation Checklist'!B:B,A5,'Implementation Checklist'!H:H,"In Progress")</f>
        <v>0</v>
      </c>
      <c r="F5">
        <f>COUNTIFS('Implementation Checklist'!B:B,A5,'Implementation Checklist'!H:H,"Not Started")</f>
        <v>0</v>
      </c>
      <c r="G5">
        <f>COUNTIFS('Implementation Checklist'!B:B,A5,'Implementation Checklist'!H:H,"Not Applicable")</f>
        <v>0</v>
      </c>
    </row>
    <row r="6" spans="1:7" x14ac:dyDescent="0.35">
      <c r="A6" t="s">
        <v>48</v>
      </c>
      <c r="B6">
        <f>COUNTIF('Implementation Checklist'!B:B,A6)</f>
        <v>9</v>
      </c>
      <c r="C6">
        <f>COUNTIFS('Implementation Checklist'!B:B,A6,'Implementation Checklist'!H:H,"Implemented")</f>
        <v>0</v>
      </c>
      <c r="D6">
        <f>COUNTIFS('Implementation Checklist'!B:B,A6,'Implementation Checklist'!H:H,"Partially Implemented")</f>
        <v>0</v>
      </c>
      <c r="E6">
        <f>COUNTIFS('Implementation Checklist'!B:B,A6,'Implementation Checklist'!H:H,"In Progress")</f>
        <v>0</v>
      </c>
      <c r="F6">
        <f>COUNTIFS('Implementation Checklist'!B:B,A6,'Implementation Checklist'!H:H,"Not Started")</f>
        <v>0</v>
      </c>
      <c r="G6">
        <f>COUNTIFS('Implementation Checklist'!B:B,A6,'Implementation Checklist'!H:H,"Not Applicable")</f>
        <v>0</v>
      </c>
    </row>
    <row r="7" spans="1:7" x14ac:dyDescent="0.35">
      <c r="A7" t="s">
        <v>67</v>
      </c>
      <c r="B7">
        <f>COUNTIF('Implementation Checklist'!B:B,A7)</f>
        <v>9</v>
      </c>
      <c r="C7">
        <f>COUNTIFS('Implementation Checklist'!B:B,A7,'Implementation Checklist'!H:H,"Implemented")</f>
        <v>0</v>
      </c>
      <c r="D7">
        <f>COUNTIFS('Implementation Checklist'!B:B,A7,'Implementation Checklist'!H:H,"Partially Implemented")</f>
        <v>0</v>
      </c>
      <c r="E7">
        <f>COUNTIFS('Implementation Checklist'!B:B,A7,'Implementation Checklist'!H:H,"In Progress")</f>
        <v>0</v>
      </c>
      <c r="F7">
        <f>COUNTIFS('Implementation Checklist'!B:B,A7,'Implementation Checklist'!H:H,"Not Started")</f>
        <v>0</v>
      </c>
      <c r="G7">
        <f>COUNTIFS('Implementation Checklist'!B:B,A7,'Implementation Checklist'!H:H,"Not Applicable")</f>
        <v>0</v>
      </c>
    </row>
    <row r="8" spans="1:7" x14ac:dyDescent="0.35">
      <c r="A8" t="s">
        <v>86</v>
      </c>
      <c r="B8">
        <f>COUNTIF('Implementation Checklist'!B:B,A8)</f>
        <v>6</v>
      </c>
      <c r="C8">
        <f>COUNTIFS('Implementation Checklist'!B:B,A8,'Implementation Checklist'!H:H,"Implemented")</f>
        <v>0</v>
      </c>
      <c r="D8">
        <f>COUNTIFS('Implementation Checklist'!B:B,A8,'Implementation Checklist'!H:H,"Partially Implemented")</f>
        <v>0</v>
      </c>
      <c r="E8">
        <f>COUNTIFS('Implementation Checklist'!B:B,A8,'Implementation Checklist'!H:H,"In Progress")</f>
        <v>0</v>
      </c>
      <c r="F8">
        <f>COUNTIFS('Implementation Checklist'!B:B,A8,'Implementation Checklist'!H:H,"Not Started")</f>
        <v>0</v>
      </c>
      <c r="G8">
        <f>COUNTIFS('Implementation Checklist'!B:B,A8,'Implementation Checklist'!H:H,"Not Applicable")</f>
        <v>0</v>
      </c>
    </row>
    <row r="9" spans="1:7" x14ac:dyDescent="0.35">
      <c r="A9" t="s">
        <v>99</v>
      </c>
      <c r="B9">
        <f>COUNTIF('Implementation Checklist'!B:B,A9)</f>
        <v>7</v>
      </c>
      <c r="C9">
        <f>COUNTIFS('Implementation Checklist'!B:B,A9,'Implementation Checklist'!H:H,"Implemented")</f>
        <v>0</v>
      </c>
      <c r="D9">
        <f>COUNTIFS('Implementation Checklist'!B:B,A9,'Implementation Checklist'!H:H,"Partially Implemented")</f>
        <v>0</v>
      </c>
      <c r="E9">
        <f>COUNTIFS('Implementation Checklist'!B:B,A9,'Implementation Checklist'!H:H,"In Progress")</f>
        <v>0</v>
      </c>
      <c r="F9">
        <f>COUNTIFS('Implementation Checklist'!B:B,A9,'Implementation Checklist'!H:H,"Not Started")</f>
        <v>0</v>
      </c>
      <c r="G9">
        <f>COUNTIFS('Implementation Checklist'!B:B,A9,'Implementation Checklist'!H:H,"Not Applicable")</f>
        <v>0</v>
      </c>
    </row>
    <row r="10" spans="1:7" x14ac:dyDescent="0.35">
      <c r="A10" t="s">
        <v>114</v>
      </c>
      <c r="B10">
        <f>COUNTIF('Implementation Checklist'!B:B,A10)</f>
        <v>5</v>
      </c>
      <c r="C10">
        <f>COUNTIFS('Implementation Checklist'!B:B,A10,'Implementation Checklist'!H:H,"Implemented")</f>
        <v>0</v>
      </c>
      <c r="D10">
        <f>COUNTIFS('Implementation Checklist'!B:B,A10,'Implementation Checklist'!H:H,"Partially Implemented")</f>
        <v>0</v>
      </c>
      <c r="E10">
        <f>COUNTIFS('Implementation Checklist'!B:B,A10,'Implementation Checklist'!H:H,"In Progress")</f>
        <v>0</v>
      </c>
      <c r="F10">
        <f>COUNTIFS('Implementation Checklist'!B:B,A10,'Implementation Checklist'!H:H,"Not Started")</f>
        <v>0</v>
      </c>
      <c r="G10">
        <f>COUNTIFS('Implementation Checklist'!B:B,A10,'Implementation Checklist'!H:H,"Not Applicable")</f>
        <v>0</v>
      </c>
    </row>
    <row r="11" spans="1:7" x14ac:dyDescent="0.35">
      <c r="A11" t="s">
        <v>125</v>
      </c>
      <c r="B11">
        <f>COUNTIF('Implementation Checklist'!B:B,A11)</f>
        <v>3</v>
      </c>
      <c r="C11">
        <f>COUNTIFS('Implementation Checklist'!B:B,A11,'Implementation Checklist'!H:H,"Implemented")</f>
        <v>0</v>
      </c>
      <c r="D11">
        <f>COUNTIFS('Implementation Checklist'!B:B,A11,'Implementation Checklist'!H:H,"Partially Implemented")</f>
        <v>0</v>
      </c>
      <c r="E11">
        <f>COUNTIFS('Implementation Checklist'!B:B,A11,'Implementation Checklist'!H:H,"In Progress")</f>
        <v>0</v>
      </c>
      <c r="F11">
        <f>COUNTIFS('Implementation Checklist'!B:B,A11,'Implementation Checklist'!H:H,"Not Started")</f>
        <v>0</v>
      </c>
      <c r="G11">
        <f>COUNTIFS('Implementation Checklist'!B:B,A11,'Implementation Checklist'!H:H,"Not Applicable")</f>
        <v>0</v>
      </c>
    </row>
    <row r="12" spans="1:7" x14ac:dyDescent="0.35">
      <c r="A12" t="s">
        <v>132</v>
      </c>
      <c r="B12">
        <f>COUNTIF('Implementation Checklist'!B:B,A12)</f>
        <v>6</v>
      </c>
      <c r="C12">
        <f>COUNTIFS('Implementation Checklist'!B:B,A12,'Implementation Checklist'!H:H,"Implemented")</f>
        <v>0</v>
      </c>
      <c r="D12">
        <f>COUNTIFS('Implementation Checklist'!B:B,A12,'Implementation Checklist'!H:H,"Partially Implemented")</f>
        <v>0</v>
      </c>
      <c r="E12">
        <f>COUNTIFS('Implementation Checklist'!B:B,A12,'Implementation Checklist'!H:H,"In Progress")</f>
        <v>0</v>
      </c>
      <c r="F12">
        <f>COUNTIFS('Implementation Checklist'!B:B,A12,'Implementation Checklist'!H:H,"Not Started")</f>
        <v>0</v>
      </c>
      <c r="G12">
        <f>COUNTIFS('Implementation Checklist'!B:B,A12,'Implementation Checklist'!H:H,"Not Applicable")</f>
        <v>0</v>
      </c>
    </row>
    <row r="13" spans="1:7" x14ac:dyDescent="0.35">
      <c r="A13" t="s">
        <v>145</v>
      </c>
      <c r="B13">
        <f>COUNTIF('Implementation Checklist'!B:B,A13)</f>
        <v>5</v>
      </c>
      <c r="C13">
        <f>COUNTIFS('Implementation Checklist'!B:B,A13,'Implementation Checklist'!H:H,"Implemented")</f>
        <v>0</v>
      </c>
      <c r="D13">
        <f>COUNTIFS('Implementation Checklist'!B:B,A13,'Implementation Checklist'!H:H,"Partially Implemented")</f>
        <v>0</v>
      </c>
      <c r="E13">
        <f>COUNTIFS('Implementation Checklist'!B:B,A13,'Implementation Checklist'!H:H,"In Progress")</f>
        <v>0</v>
      </c>
      <c r="F13">
        <f>COUNTIFS('Implementation Checklist'!B:B,A13,'Implementation Checklist'!H:H,"Not Started")</f>
        <v>0</v>
      </c>
      <c r="G13">
        <f>COUNTIFS('Implementation Checklist'!B:B,A13,'Implementation Checklist'!H:H,"Not Applicable")</f>
        <v>0</v>
      </c>
    </row>
  </sheetData>
  <autoFilter ref="A1:G1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showGridLines="0" workbookViewId="0"/>
  </sheetViews>
  <sheetFormatPr defaultRowHeight="14.5" x14ac:dyDescent="0.35"/>
  <cols>
    <col min="1" max="1" width="35" customWidth="1"/>
    <col min="2" max="2" width="20" customWidth="1"/>
  </cols>
  <sheetData>
    <row r="1" spans="1:2" x14ac:dyDescent="0.35">
      <c r="A1" s="2" t="s">
        <v>162</v>
      </c>
      <c r="B1" s="2" t="s">
        <v>163</v>
      </c>
    </row>
    <row r="2" spans="1:2" x14ac:dyDescent="0.35">
      <c r="A2" t="s">
        <v>164</v>
      </c>
      <c r="B2">
        <f>COUNTA('Implementation Checklist'!C:C)-1</f>
        <v>68</v>
      </c>
    </row>
    <row r="3" spans="1:2" x14ac:dyDescent="0.35">
      <c r="A3" t="s">
        <v>157</v>
      </c>
      <c r="B3">
        <f>COUNTIF('Implementation Checklist'!H:H,"Implemented")</f>
        <v>0</v>
      </c>
    </row>
    <row r="4" spans="1:2" x14ac:dyDescent="0.35">
      <c r="A4" t="s">
        <v>158</v>
      </c>
      <c r="B4">
        <f>COUNTIF('Implementation Checklist'!H:H,"Partially Implemented")</f>
        <v>0</v>
      </c>
    </row>
    <row r="5" spans="1:2" x14ac:dyDescent="0.35">
      <c r="A5" t="s">
        <v>159</v>
      </c>
      <c r="B5">
        <f>COUNTIF('Implementation Checklist'!H:H,"In Progress")</f>
        <v>0</v>
      </c>
    </row>
    <row r="6" spans="1:2" x14ac:dyDescent="0.35">
      <c r="A6" t="s">
        <v>160</v>
      </c>
      <c r="B6">
        <f>COUNTIF('Implementation Checklist'!H:H,"Not Started")</f>
        <v>0</v>
      </c>
    </row>
    <row r="7" spans="1:2" x14ac:dyDescent="0.35">
      <c r="A7" t="s">
        <v>161</v>
      </c>
      <c r="B7">
        <f>COUNTIF('Implementation Checklist'!H:H,"Not Applicable")</f>
        <v>0</v>
      </c>
    </row>
    <row r="8" spans="1:2" x14ac:dyDescent="0.35">
      <c r="A8" t="s">
        <v>165</v>
      </c>
      <c r="B8">
        <f>COUNTIF('Implementation Checklist'!G:G,"High")</f>
        <v>0</v>
      </c>
    </row>
    <row r="9" spans="1:2" x14ac:dyDescent="0.35">
      <c r="A9" t="s">
        <v>166</v>
      </c>
      <c r="B9">
        <f>COUNTIF('Implementation Checklist'!G:G,"Medium")</f>
        <v>0</v>
      </c>
    </row>
    <row r="10" spans="1:2" x14ac:dyDescent="0.35">
      <c r="A10" t="s">
        <v>167</v>
      </c>
      <c r="B10">
        <f>COUNTIF('Implementation Checklist'!G:G,"Low")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Implementation Checklist</vt:lpstr>
      <vt:lpstr>Implementation Summary</vt:lpstr>
      <vt:lpstr>Overall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HD</cp:lastModifiedBy>
  <dcterms:created xsi:type="dcterms:W3CDTF">2026-09-08T03:30:46Z</dcterms:created>
  <dcterms:modified xsi:type="dcterms:W3CDTF">2026-09-08T03:47:15Z</dcterms:modified>
</cp:coreProperties>
</file>