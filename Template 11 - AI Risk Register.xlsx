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E:\ISO 42001 - 2023 (AIMS)\Template\Template - AIMS - ISO 42001 - Editable\"/>
    </mc:Choice>
  </mc:AlternateContent>
  <bookViews>
    <workbookView xWindow="-110" yWindow="-110" windowWidth="23260" windowHeight="14980" tabRatio="895" activeTab="2"/>
  </bookViews>
  <sheets>
    <sheet name="Document Control" sheetId="22" r:id="rId1"/>
    <sheet name="Parameter" sheetId="16" r:id="rId2"/>
    <sheet name="Risk Register" sheetId="11" r:id="rId3"/>
    <sheet name="Risk Acceptance Criteria" sheetId="20" r:id="rId4"/>
    <sheet name="Control Score" sheetId="19" r:id="rId5"/>
    <sheet name="Positive Risks - Opportunities" sheetId="21" r:id="rId6"/>
  </sheets>
  <externalReferences>
    <externalReference r:id="rId7"/>
  </externalReferences>
  <definedNames>
    <definedName name="_xlnm._FilterDatabase" localSheetId="2" hidden="1">'Risk Register'!$A$4:$Z$41</definedName>
    <definedName name="Index" localSheetId="0">#REF!</definedName>
    <definedName name="Index">#REF!</definedName>
    <definedName name="Start1" localSheetId="0">[1]Version!#REF!</definedName>
    <definedName name="Start1">[1]Version!#REF!</definedName>
    <definedName name="Start10" localSheetId="0">[1]IT!#REF!</definedName>
    <definedName name="Start10">[1]IT!#REF!</definedName>
    <definedName name="Start11" localSheetId="0">'[1]Information Security'!#REF!</definedName>
    <definedName name="Start11">'[1]Information Security'!#REF!</definedName>
    <definedName name="Start12" localSheetId="0">'[1]Email Security'!#REF!</definedName>
    <definedName name="Start12">'[1]Email Security'!#REF!</definedName>
    <definedName name="Start13" localSheetId="0">[1]Finance!#REF!</definedName>
    <definedName name="Start13">[1]Finance!#REF!</definedName>
    <definedName name="Start14" localSheetId="0">'[1]Cloud Security'!#REF!</definedName>
    <definedName name="Start14">'[1]Cloud Security'!#REF!</definedName>
    <definedName name="Start4" localSheetId="0">'[1]Laptop and Mobile Device'!#REF!</definedName>
    <definedName name="Start4">'[1]Laptop and Mobile Device'!#REF!</definedName>
    <definedName name="Start5" localSheetId="0">'[1]Human Resources'!#REF!</definedName>
    <definedName name="Start5">'[1]Human Resources'!#REF!</definedName>
    <definedName name="Start7" localSheetId="0">'[1]Asset Management'!#REF!</definedName>
    <definedName name="Start7">'[1]Asset Management'!#REF!</definedName>
    <definedName name="Start8" localSheetId="0">[1]Compliance!#REF!</definedName>
    <definedName name="Start8">[1]Compliance!#REF!</definedName>
    <definedName name="Start9" localSheetId="0">[1]SDLC!#REF!</definedName>
    <definedName name="Start9">[1]SDLC!#REF!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N42" i="11" l="1"/>
  <c r="O42" i="11" s="1"/>
  <c r="M42" i="11"/>
  <c r="M41" i="11"/>
  <c r="N41" i="11" s="1"/>
  <c r="O41" i="11" s="1"/>
  <c r="N40" i="11"/>
  <c r="O40" i="11" s="1"/>
  <c r="M40" i="11"/>
  <c r="M39" i="11"/>
  <c r="N39" i="11" s="1"/>
  <c r="O39" i="11" s="1"/>
  <c r="N38" i="11"/>
  <c r="O38" i="11" s="1"/>
  <c r="M38" i="11"/>
  <c r="M37" i="11"/>
  <c r="N37" i="11" s="1"/>
  <c r="O37" i="11" s="1"/>
  <c r="N36" i="11"/>
  <c r="O36" i="11" s="1"/>
  <c r="M36" i="11"/>
  <c r="M35" i="11"/>
  <c r="N35" i="11" s="1"/>
  <c r="O35" i="11" s="1"/>
  <c r="N34" i="11"/>
  <c r="O34" i="11" s="1"/>
  <c r="M34" i="11"/>
  <c r="M33" i="11"/>
  <c r="N33" i="11" s="1"/>
  <c r="O33" i="11" s="1"/>
  <c r="N32" i="11"/>
  <c r="O32" i="11" s="1"/>
  <c r="M32" i="11"/>
  <c r="M31" i="11"/>
  <c r="N31" i="11" s="1"/>
  <c r="O31" i="11" s="1"/>
  <c r="N30" i="11"/>
  <c r="O30" i="11" s="1"/>
  <c r="M30" i="11"/>
  <c r="M29" i="11"/>
  <c r="N29" i="11" s="1"/>
  <c r="O29" i="11" s="1"/>
  <c r="N28" i="11"/>
  <c r="O28" i="11" s="1"/>
  <c r="M28" i="11"/>
  <c r="M27" i="11"/>
  <c r="N27" i="11" s="1"/>
  <c r="O27" i="11" s="1"/>
  <c r="N26" i="11"/>
  <c r="O26" i="11" s="1"/>
  <c r="M26" i="11"/>
  <c r="M25" i="11"/>
  <c r="N25" i="11" s="1"/>
  <c r="O25" i="11" s="1"/>
  <c r="N24" i="11"/>
  <c r="O24" i="11" s="1"/>
  <c r="M24" i="11"/>
  <c r="M23" i="11"/>
  <c r="N23" i="11" s="1"/>
  <c r="O23" i="11" s="1"/>
  <c r="N22" i="11"/>
  <c r="O22" i="11" s="1"/>
  <c r="M22" i="11"/>
  <c r="M21" i="11"/>
  <c r="N21" i="11" s="1"/>
  <c r="O21" i="11" s="1"/>
  <c r="N20" i="11"/>
  <c r="O20" i="11" s="1"/>
  <c r="M20" i="11"/>
  <c r="M19" i="11"/>
  <c r="N19" i="11" s="1"/>
  <c r="O19" i="11" s="1"/>
  <c r="N18" i="11"/>
  <c r="O18" i="11" s="1"/>
  <c r="M18" i="11"/>
  <c r="M17" i="11"/>
  <c r="N17" i="11" s="1"/>
  <c r="O17" i="11" s="1"/>
  <c r="N16" i="11"/>
  <c r="O16" i="11" s="1"/>
  <c r="M16" i="11"/>
  <c r="M15" i="11"/>
  <c r="N15" i="11" s="1"/>
  <c r="O15" i="11" s="1"/>
  <c r="N14" i="11"/>
  <c r="O14" i="11" s="1"/>
  <c r="M14" i="11"/>
  <c r="M13" i="11"/>
  <c r="N13" i="11" s="1"/>
  <c r="O13" i="11" s="1"/>
  <c r="H42" i="11"/>
  <c r="I42" i="11" s="1"/>
  <c r="H41" i="11"/>
  <c r="I41" i="11" s="1"/>
  <c r="H40" i="11"/>
  <c r="I40" i="11" s="1"/>
  <c r="H39" i="11"/>
  <c r="I39" i="11" s="1"/>
  <c r="H38" i="11"/>
  <c r="I38" i="11" s="1"/>
  <c r="H37" i="11"/>
  <c r="I37" i="11" s="1"/>
  <c r="H36" i="11"/>
  <c r="I36" i="11" s="1"/>
  <c r="H35" i="11"/>
  <c r="I35" i="11" s="1"/>
  <c r="H34" i="11"/>
  <c r="I34" i="11" s="1"/>
  <c r="H33" i="11"/>
  <c r="I33" i="11" s="1"/>
  <c r="H32" i="11"/>
  <c r="I32" i="11" s="1"/>
  <c r="H31" i="11"/>
  <c r="I31" i="11" s="1"/>
  <c r="H30" i="11"/>
  <c r="I30" i="11" s="1"/>
  <c r="H29" i="11"/>
  <c r="I29" i="11" s="1"/>
  <c r="H28" i="11"/>
  <c r="I28" i="11" s="1"/>
  <c r="H27" i="11"/>
  <c r="I27" i="11" s="1"/>
  <c r="H26" i="11"/>
  <c r="I26" i="11" s="1"/>
  <c r="H25" i="11"/>
  <c r="I25" i="11" s="1"/>
  <c r="H24" i="11"/>
  <c r="I24" i="11" s="1"/>
  <c r="H23" i="11"/>
  <c r="I23" i="11" s="1"/>
  <c r="H22" i="11"/>
  <c r="I22" i="11" s="1"/>
  <c r="H21" i="11"/>
  <c r="I21" i="11" s="1"/>
  <c r="H20" i="11"/>
  <c r="I20" i="11" s="1"/>
  <c r="H19" i="11"/>
  <c r="I19" i="11" s="1"/>
  <c r="H18" i="11"/>
  <c r="I18" i="11" s="1"/>
  <c r="H17" i="11"/>
  <c r="I17" i="11" s="1"/>
  <c r="H16" i="11"/>
  <c r="I16" i="11" s="1"/>
  <c r="H15" i="11"/>
  <c r="I15" i="11" s="1"/>
  <c r="H14" i="11"/>
  <c r="I14" i="11" s="1"/>
  <c r="H13" i="11"/>
  <c r="I13" i="11" s="1"/>
  <c r="H5" i="11" l="1"/>
  <c r="I5" i="11"/>
  <c r="M5" i="11"/>
  <c r="N5" i="11" s="1"/>
  <c r="O5" i="11" s="1"/>
  <c r="H6" i="11"/>
  <c r="M6" i="11"/>
  <c r="H7" i="11"/>
  <c r="I7" i="11"/>
  <c r="M7" i="11"/>
  <c r="N7" i="11"/>
  <c r="O7" i="11" s="1"/>
  <c r="H8" i="11"/>
  <c r="I8" i="11" s="1"/>
  <c r="M8" i="11"/>
  <c r="H9" i="11"/>
  <c r="I9" i="11"/>
  <c r="M9" i="11"/>
  <c r="N9" i="11"/>
  <c r="O9" i="11" s="1"/>
  <c r="H10" i="11"/>
  <c r="M10" i="11"/>
  <c r="H11" i="11"/>
  <c r="I11" i="11"/>
  <c r="M11" i="11"/>
  <c r="N11" i="11"/>
  <c r="O11" i="11" s="1"/>
  <c r="H12" i="11"/>
  <c r="I12" i="11" s="1"/>
  <c r="M12" i="11"/>
  <c r="N10" i="11" l="1"/>
  <c r="O10" i="11" s="1"/>
  <c r="N6" i="11"/>
  <c r="O6" i="11" s="1"/>
  <c r="N12" i="11"/>
  <c r="O12" i="11" s="1"/>
  <c r="I10" i="11"/>
  <c r="N8" i="11"/>
  <c r="O8" i="11" s="1"/>
  <c r="I6" i="11"/>
</calcChain>
</file>

<file path=xl/sharedStrings.xml><?xml version="1.0" encoding="utf-8"?>
<sst xmlns="http://schemas.openxmlformats.org/spreadsheetml/2006/main" count="499" uniqueCount="319">
  <si>
    <t>Document Owner</t>
  </si>
  <si>
    <t>Version No.</t>
  </si>
  <si>
    <t>Risk Assessment - Key reference for Risk calculation</t>
  </si>
  <si>
    <t>Likelihood</t>
  </si>
  <si>
    <t>The following table will be used to decide upon the most appropriate likelihood for a particular threat.</t>
  </si>
  <si>
    <t>Description</t>
  </si>
  <si>
    <t>Summary</t>
  </si>
  <si>
    <t>Improbable</t>
  </si>
  <si>
    <t>Has never happened before and there is no reason to think it is any more likely now</t>
  </si>
  <si>
    <t>Unlikely</t>
  </si>
  <si>
    <t>There is a possibility that it could happen, but it probably won't</t>
  </si>
  <si>
    <t>Likely</t>
  </si>
  <si>
    <t>On balance, the risk is more likely to happen than not</t>
  </si>
  <si>
    <t>Very Likely</t>
  </si>
  <si>
    <t>It would be a surprise if the risk did not occur either based on past frequency or current circumstances</t>
  </si>
  <si>
    <t>Almost certain</t>
  </si>
  <si>
    <t>Either already happens regularly or there is some reason to believe it is virtually imminent</t>
  </si>
  <si>
    <t>Impact</t>
  </si>
  <si>
    <t>The following table will be used as guidance to help to decide upon the correct impact rating for a particular threat.</t>
  </si>
  <si>
    <t>Impact Level</t>
  </si>
  <si>
    <t>Impact Areas</t>
  </si>
  <si>
    <t>Impact Rating</t>
  </si>
  <si>
    <t>General Description</t>
  </si>
  <si>
    <t>Effect on Customers</t>
  </si>
  <si>
    <t>Financial Cost</t>
  </si>
  <si>
    <t>Health and Safety</t>
  </si>
  <si>
    <t>Damage to Reputation</t>
  </si>
  <si>
    <t>Legal, contractual and organisational Compliance</t>
  </si>
  <si>
    <t>Negligible</t>
  </si>
  <si>
    <t>No effect</t>
  </si>
  <si>
    <t>Very little or none</t>
  </si>
  <si>
    <t>Very small additional risk</t>
  </si>
  <si>
    <t>No implications</t>
  </si>
  <si>
    <t>Slight</t>
  </si>
  <si>
    <t>Some local disturbance to normal business operations</t>
  </si>
  <si>
    <t>Some</t>
  </si>
  <si>
    <t>Within acceptable limits</t>
  </si>
  <si>
    <t>Small risk of not meeting compliance</t>
  </si>
  <si>
    <t>Moderate</t>
  </si>
  <si>
    <t>Can still deliver product/service with some difficulty</t>
  </si>
  <si>
    <t>Unwelcome but could be borne</t>
  </si>
  <si>
    <t>Elevated risk requiring immediate attention</t>
  </si>
  <si>
    <t>In definite danger of operating illegally</t>
  </si>
  <si>
    <t>High</t>
  </si>
  <si>
    <t>Business is crippled in key areas</t>
  </si>
  <si>
    <t>Severe effect on income and/or profit</t>
  </si>
  <si>
    <t>Significant danger to life</t>
  </si>
  <si>
    <t>Operating illegally in some areas</t>
  </si>
  <si>
    <t>Very High</t>
  </si>
  <si>
    <t>Out of business; no service to customers</t>
  </si>
  <si>
    <t>Crippling; the organisation will go out of business</t>
  </si>
  <si>
    <t>Real or strong potential loss of life</t>
  </si>
  <si>
    <t>Severe fines and possible imprisonment of staff</t>
  </si>
  <si>
    <t>The chart below shows the rating scheme used to determine risk level based on a combination of likelihood and impact.</t>
  </si>
  <si>
    <t>Risk ID</t>
  </si>
  <si>
    <t>Inherent Risk Rating</t>
  </si>
  <si>
    <t>Residual Risk Rating</t>
  </si>
  <si>
    <t>Accept Residual Risk (Yes/No)</t>
  </si>
  <si>
    <t>No</t>
  </si>
  <si>
    <t>Risk Register</t>
  </si>
  <si>
    <t>Controls are not effective at all</t>
  </si>
  <si>
    <t>Controls are fully effective and there is no residual risk</t>
  </si>
  <si>
    <t>Parameter</t>
  </si>
  <si>
    <t>Score</t>
  </si>
  <si>
    <t>Controls are majorly effective</t>
  </si>
  <si>
    <t>Controls are moderately effective</t>
  </si>
  <si>
    <t>Controls are somewhat effective</t>
  </si>
  <si>
    <t>Operational Control Effectiveness  (Select from Drop Down Parameters)</t>
  </si>
  <si>
    <t xml:space="preserve">Control Score </t>
  </si>
  <si>
    <t>Score will be equal to inherent risk</t>
  </si>
  <si>
    <t>Score will be equal to (nherent risk score * 0.75)</t>
  </si>
  <si>
    <t>Score will be equal to (nherent risk score * 0.50)</t>
  </si>
  <si>
    <t>Score will be equal to (nherent risk score * 0.25)</t>
  </si>
  <si>
    <t>Risk Acceptance Criteria</t>
  </si>
  <si>
    <t>Sr. No.</t>
  </si>
  <si>
    <t>Risk Score</t>
  </si>
  <si>
    <t>Residual Risk Level</t>
  </si>
  <si>
    <t>Auto Accepted.</t>
  </si>
  <si>
    <t>Risk can be accepted only on approval by Chief Executive Officer</t>
  </si>
  <si>
    <t>Risk can be accepted only on approval by Departmental Head &amp; Chief Risk Officer</t>
  </si>
  <si>
    <t>Risk Classification</t>
  </si>
  <si>
    <t>Risk Level</t>
  </si>
  <si>
    <t>Low</t>
  </si>
  <si>
    <t>Medium</t>
  </si>
  <si>
    <t>0 - 9</t>
  </si>
  <si>
    <t>10 - 18</t>
  </si>
  <si>
    <t>19 - 25</t>
  </si>
  <si>
    <t>Very High (5)</t>
  </si>
  <si>
    <t>High (4)</t>
  </si>
  <si>
    <t>Moderate (3)</t>
  </si>
  <si>
    <t>Slight (2)</t>
  </si>
  <si>
    <t>Negligible (1)</t>
  </si>
  <si>
    <t>Improbable (1)</t>
  </si>
  <si>
    <t>Unlikely (2)</t>
  </si>
  <si>
    <t>Likely (3)</t>
  </si>
  <si>
    <t>Very Likely (4)</t>
  </si>
  <si>
    <t>Almost certain (5)</t>
  </si>
  <si>
    <t>Colour Indication</t>
  </si>
  <si>
    <t>Green</t>
  </si>
  <si>
    <t>Yellow</t>
  </si>
  <si>
    <t>Red</t>
  </si>
  <si>
    <t>Residual Risk is Low (Risk Score upto 9)</t>
  </si>
  <si>
    <t>Residual Risk is Medium (Risk Score 10 to 18)</t>
  </si>
  <si>
    <t>Residual Risk is High (Risk Score 19  to 25 )</t>
  </si>
  <si>
    <t>Risk Acceptance Approved by</t>
  </si>
  <si>
    <t>Risk Description</t>
  </si>
  <si>
    <t xml:space="preserve">Risk Owner </t>
  </si>
  <si>
    <t xml:space="preserve">Target Date for Additional Controls </t>
  </si>
  <si>
    <t>Inherent Risk Level</t>
  </si>
  <si>
    <t>Risk Category</t>
  </si>
  <si>
    <t xml:space="preserve">Department </t>
  </si>
  <si>
    <t>Justification for Acceptance (only for medium and high residual risk)</t>
  </si>
  <si>
    <t>Opportunity Name</t>
  </si>
  <si>
    <t>Potential Benefits</t>
  </si>
  <si>
    <t>Associated Risks</t>
  </si>
  <si>
    <t>Probability of Success</t>
  </si>
  <si>
    <t>Impact on Organization</t>
  </si>
  <si>
    <t>Action Plan</t>
  </si>
  <si>
    <t>Responsible Parties</t>
  </si>
  <si>
    <t>Timeline</t>
  </si>
  <si>
    <t>[Brief description of the opportunity]</t>
  </si>
  <si>
    <t>[List of potential benefits]</t>
  </si>
  <si>
    <t>[List of associated risks]</t>
  </si>
  <si>
    <t>[High/Medium/Low]</t>
  </si>
  <si>
    <t>[Steps to pursue the opportunity]</t>
  </si>
  <si>
    <t>[Names of responsible individuals/departments]</t>
  </si>
  <si>
    <t>[Start and end dates]</t>
  </si>
  <si>
    <t>[Current status]</t>
  </si>
  <si>
    <t>[Opportunity 3]</t>
  </si>
  <si>
    <t>Current Status</t>
  </si>
  <si>
    <t>Positive Risks - Opportunities</t>
  </si>
  <si>
    <t>Classification of Risk Level - Inherent Risk</t>
  </si>
  <si>
    <t>Priority level for implementing additional control</t>
  </si>
  <si>
    <t>Yes</t>
  </si>
  <si>
    <t>HoD</t>
  </si>
  <si>
    <t xml:space="preserve">Risk Response Implemented </t>
  </si>
  <si>
    <t>Sr.No.</t>
  </si>
  <si>
    <t>Control Testing Requirement</t>
  </si>
  <si>
    <t>Control Testing can be done by independent risk management team under the supervision of Head - Risk Management.</t>
  </si>
  <si>
    <t>Head - Risk Management is authorised to hire external service provider for control testing.</t>
  </si>
  <si>
    <t xml:space="preserve">Control Testing should be conducted on annual basis. </t>
  </si>
  <si>
    <t>Control Score will be arrived as per following matrix:</t>
  </si>
  <si>
    <t>Additional Risk Treatment Plan</t>
  </si>
  <si>
    <t>Responsibility for Risk Treatment</t>
  </si>
  <si>
    <t>Annex A - Control Mapping  (Mention relevant Annex A Clauses)</t>
  </si>
  <si>
    <t>AI - 1</t>
  </si>
  <si>
    <t>AI Risk</t>
  </si>
  <si>
    <r>
      <rPr>
        <b/>
        <sz val="11"/>
        <color theme="1"/>
        <rFont val="Calibri"/>
        <family val="2"/>
        <scheme val="minor"/>
      </rPr>
      <t>Risk of Lacking an AI Development and Usage Policy</t>
    </r>
    <r>
      <rPr>
        <sz val="11"/>
        <color theme="1"/>
        <rFont val="Calibri"/>
        <family val="2"/>
        <scheme val="minor"/>
      </rPr>
      <t xml:space="preserve">
Failure to document a policy for the development or use of AI systems may lead to inconsistent practices, ethical concerns, regulatory non-compliance, and increased security risks, potentially resulting in legal penalties, reputational damage, and operational disruptions.</t>
    </r>
  </si>
  <si>
    <r>
      <rPr>
        <b/>
        <sz val="11"/>
        <color theme="1"/>
        <rFont val="Calibri"/>
        <family val="2"/>
        <scheme val="minor"/>
      </rPr>
      <t>Risk of Misalignment Between AI Objectives and Existing Policies</t>
    </r>
    <r>
      <rPr>
        <sz val="11"/>
        <color theme="1"/>
        <rFont val="Calibri"/>
        <family val="2"/>
        <scheme val="minor"/>
      </rPr>
      <t xml:space="preserve">
Failure to identify and align relevant policies with the organization's AI objectives may lead to inconsistencies, regulatory non-compliance, operational inefficiencies, and increased legal or ethical risks, potentially resulting in financial loss and reputational damage.</t>
    </r>
  </si>
  <si>
    <r>
      <rPr>
        <b/>
        <sz val="11"/>
        <color theme="1"/>
        <rFont val="Calibri"/>
        <family val="2"/>
        <scheme val="minor"/>
      </rPr>
      <t>Risk of Outdated AI Policy</t>
    </r>
    <r>
      <rPr>
        <sz val="11"/>
        <color theme="1"/>
        <rFont val="Calibri"/>
        <family val="2"/>
        <scheme val="minor"/>
      </rPr>
      <t xml:space="preserve">
Failure to review and update the AI policy at planned intervals or as needed may result in outdated guidelines, misalignment with evolving regulations and industry standards, increased security vulnerabilities, and ineffective governance, potentially leading to compliance issues, operational disruptions, and reputational damage.</t>
    </r>
  </si>
  <si>
    <r>
      <rPr>
        <b/>
        <sz val="11"/>
        <color theme="1"/>
        <rFont val="Calibri"/>
        <family val="2"/>
        <scheme val="minor"/>
      </rPr>
      <t>Risk of Undefined AI Roles and Responsibilities</t>
    </r>
    <r>
      <rPr>
        <sz val="11"/>
        <color theme="1"/>
        <rFont val="Calibri"/>
        <family val="2"/>
        <scheme val="minor"/>
      </rPr>
      <t xml:space="preserve">
Failure to define and allocate AI-related roles and responsibilities may lead to unclear accountability, ineffective governance, compliance gaps, and operational inefficiencies, potentially resulting in security risks, ethical concerns, and regulatory non-compliance.</t>
    </r>
  </si>
  <si>
    <r>
      <rPr>
        <b/>
        <sz val="11"/>
        <color theme="1"/>
        <rFont val="Calibri"/>
        <family val="2"/>
        <scheme val="minor"/>
      </rPr>
      <t>Risk of Inadequate AI Concern Reporting Process</t>
    </r>
    <r>
      <rPr>
        <sz val="11"/>
        <color theme="1"/>
        <rFont val="Calibri"/>
        <family val="2"/>
        <scheme val="minor"/>
      </rPr>
      <t xml:space="preserve">
Failure to establish a clear process for reporting concerns about the organization’s role in an AI system's life cycle may result in unaddressed ethical, legal, or operational issues, leading to regulatory non-compliance, reputational damage, and potential financial or legal consequences.</t>
    </r>
  </si>
  <si>
    <r>
      <rPr>
        <b/>
        <sz val="11"/>
        <color theme="1"/>
        <rFont val="Calibri"/>
        <family val="2"/>
        <scheme val="minor"/>
      </rPr>
      <t>Risk of Insufficient Resource Allocation for AI Activities</t>
    </r>
    <r>
      <rPr>
        <sz val="11"/>
        <color theme="1"/>
        <rFont val="Calibri"/>
        <family val="2"/>
        <scheme val="minor"/>
      </rPr>
      <t xml:space="preserve">
Failure to identify and document the necessary resources for AI system life cycle stages and other AI-related activities may lead to inefficiencies, project delays, compliance failures, and increased security or operational risks, potentially impacting the organization's AI strategy and overall business objectives.</t>
    </r>
  </si>
  <si>
    <r>
      <rPr>
        <b/>
        <sz val="11"/>
        <color theme="1"/>
        <rFont val="Calibri"/>
        <family val="2"/>
        <scheme val="minor"/>
      </rPr>
      <t>Risk of Inadequate Documentation of AI Data Resources</t>
    </r>
    <r>
      <rPr>
        <sz val="11"/>
        <color theme="1"/>
        <rFont val="Calibri"/>
        <family val="2"/>
        <scheme val="minor"/>
      </rPr>
      <t xml:space="preserve">
Failure to document information about data resources utilized for the AI system may lead to data governance issues, regulatory non-compliance, security vulnerabilities, and reduced transparency, potentially resulting in data misuse, ethical concerns, and operational inefficiencies.</t>
    </r>
  </si>
  <si>
    <r>
      <rPr>
        <b/>
        <sz val="11"/>
        <color theme="1"/>
        <rFont val="Calibri"/>
        <family val="2"/>
        <scheme val="minor"/>
      </rPr>
      <t>Risk of Inadequate Documentation of AI Tooling Resources</t>
    </r>
    <r>
      <rPr>
        <sz val="11"/>
        <color theme="1"/>
        <rFont val="Calibri"/>
        <family val="2"/>
        <scheme val="minor"/>
      </rPr>
      <t xml:space="preserve">
Failure to document information about the tooling resources utilized for the AI system may result in inefficiencies, security vulnerabilities, compliance risks, and difficulties in system maintenance or audits, potentially leading to operational disruptions and increased costs.</t>
    </r>
  </si>
  <si>
    <r>
      <rPr>
        <b/>
        <sz val="11"/>
        <color theme="1"/>
        <rFont val="Calibri"/>
        <family val="2"/>
        <scheme val="minor"/>
      </rPr>
      <t>Risk of Inadequate Documentation of AI System and Computing Resources</t>
    </r>
    <r>
      <rPr>
        <sz val="11"/>
        <color theme="1"/>
        <rFont val="Calibri"/>
        <family val="2"/>
        <scheme val="minor"/>
      </rPr>
      <t xml:space="preserve">
Failure to document information about the system and computing resources utilized for the AI system may lead to resource mismanagement, security vulnerabilities, compliance issues, and operational inefficiencies, potentially resulting in system failures, increased costs, and regulatory penalties.</t>
    </r>
  </si>
  <si>
    <r>
      <rPr>
        <b/>
        <sz val="11"/>
        <color theme="1"/>
        <rFont val="Calibri"/>
        <family val="2"/>
        <scheme val="minor"/>
      </rPr>
      <t>Risk of Inadequate Documentation of AI Human Resources and Competencies</t>
    </r>
    <r>
      <rPr>
        <sz val="11"/>
        <color theme="1"/>
        <rFont val="Calibri"/>
        <family val="2"/>
        <scheme val="minor"/>
      </rPr>
      <t xml:space="preserve">
Failure to document information about the human resources and their competencies involved in the AI system's life cycle may lead to skill gaps, unclear accountability, inefficient operations, compliance risks, and potential system failures, ultimately impacting AI governance, performance, and regulatory adherence.</t>
    </r>
  </si>
  <si>
    <r>
      <rPr>
        <b/>
        <sz val="11"/>
        <color theme="1"/>
        <rFont val="Calibri"/>
        <family val="2"/>
        <scheme val="minor"/>
      </rPr>
      <t>Risk of Inadequate AI Impact Assessment</t>
    </r>
    <r>
      <rPr>
        <sz val="11"/>
        <color theme="1"/>
        <rFont val="Calibri"/>
        <family val="2"/>
        <scheme val="minor"/>
      </rPr>
      <t xml:space="preserve">
Failure to establish a process for assessing the potential consequences of an AI system on individuals, groups, and society may lead to unintended ethical, legal, and social risks, including bias, discrimination, privacy violations, and regulatory non-compliance, potentially resulting in reputational damage and legal penalties.</t>
    </r>
  </si>
  <si>
    <r>
      <rPr>
        <b/>
        <sz val="11"/>
        <color theme="1"/>
        <rFont val="Calibri"/>
        <family val="2"/>
        <scheme val="minor"/>
      </rPr>
      <t>Risk of Insufficient Documentation and Retention of AI Impact Assessments</t>
    </r>
    <r>
      <rPr>
        <sz val="11"/>
        <color theme="1"/>
        <rFont val="Calibri"/>
        <family val="2"/>
        <scheme val="minor"/>
      </rPr>
      <t xml:space="preserve">
Failure to document and retain AI system impact assessment results for a defined period may lead to lack of accountability, regulatory non-compliance, inability to track risks over time, and challenges in addressing ethical concerns, potentially resulting in legal penalties and reputational damage.</t>
    </r>
  </si>
  <si>
    <r>
      <rPr>
        <b/>
        <sz val="11"/>
        <color theme="1"/>
        <rFont val="Calibri"/>
        <family val="2"/>
        <scheme val="minor"/>
      </rPr>
      <t>Risk of Unassessed AI System Impact on Individuals and Groups</t>
    </r>
    <r>
      <rPr>
        <sz val="11"/>
        <color theme="1"/>
        <rFont val="Calibri"/>
        <family val="2"/>
        <scheme val="minor"/>
      </rPr>
      <t xml:space="preserve">
Failure to assess and document the potential impacts of AI systems on individuals or groups throughout the system’s life cycle may result in ethical risks, discrimination, privacy violations, regulatory non-compliance, and reputational damage, potentially leading to legal consequences and loss of stakeholder trust.</t>
    </r>
  </si>
  <si>
    <r>
      <rPr>
        <b/>
        <sz val="11"/>
        <color theme="1"/>
        <rFont val="Calibri"/>
        <family val="2"/>
        <scheme val="minor"/>
      </rPr>
      <t>Risk of Unassessed Societal Impact of AI Systems</t>
    </r>
    <r>
      <rPr>
        <sz val="11"/>
        <color theme="1"/>
        <rFont val="Calibri"/>
        <family val="2"/>
        <scheme val="minor"/>
      </rPr>
      <t xml:space="preserve">
Failure to assess and document the potential societal impacts of AI systems throughout their life cycle may lead to unintended social harm, ethical concerns, regulatory non-compliance, and reputational damage, potentially resulting in public distrust, legal consequences, and operational disruptions.</t>
    </r>
  </si>
  <si>
    <r>
      <rPr>
        <b/>
        <sz val="11"/>
        <color theme="1"/>
        <rFont val="Calibri"/>
        <family val="2"/>
        <scheme val="minor"/>
      </rPr>
      <t>Risk of Undefined Objectives for Responsible AI Development</t>
    </r>
    <r>
      <rPr>
        <sz val="11"/>
        <color theme="1"/>
        <rFont val="Calibri"/>
        <family val="2"/>
        <scheme val="minor"/>
      </rPr>
      <t xml:space="preserve">
Failure to identify, document, and integrate objectives for the responsible development of AI systems may lead to ethical risks, regulatory non-compliance, inconsistent development practices, and potential harm to users or society, resulting in reputational damage, legal consequences, and operational inefficiencies.</t>
    </r>
  </si>
  <si>
    <r>
      <rPr>
        <b/>
        <sz val="11"/>
        <color theme="1"/>
        <rFont val="Calibri"/>
        <family val="2"/>
        <scheme val="minor"/>
      </rPr>
      <t>Risk of Undefined Processes for Responsible AI Design and Development</t>
    </r>
    <r>
      <rPr>
        <sz val="11"/>
        <color theme="1"/>
        <rFont val="Calibri"/>
        <family val="2"/>
        <scheme val="minor"/>
      </rPr>
      <t xml:space="preserve">
Failure to define and document specific processes for the responsible design and development of AI systems may lead to inconsistent practices, ethical concerns, regulatory non-compliance, and increased security risks, potentially resulting in legal penalties, reputational damage, and operational failures.</t>
    </r>
  </si>
  <si>
    <r>
      <rPr>
        <b/>
        <sz val="11"/>
        <color theme="1"/>
        <rFont val="Calibri"/>
        <family val="2"/>
        <scheme val="minor"/>
      </rPr>
      <t>Risk of Unspecified Requirements for AI Systems</t>
    </r>
    <r>
      <rPr>
        <sz val="11"/>
        <color theme="1"/>
        <rFont val="Calibri"/>
        <family val="2"/>
        <scheme val="minor"/>
      </rPr>
      <t xml:space="preserve">
Failure to specify and document requirements for new AI systems or material enhancements to existing systems may lead to unclear development goals, increased security vulnerabilities, compliance failures, and operational inefficiencies, potentially resulting in system failures, legal risks, and reputational damage.</t>
    </r>
  </si>
  <si>
    <r>
      <rPr>
        <b/>
        <sz val="11"/>
        <color theme="1"/>
        <rFont val="Calibri"/>
        <family val="2"/>
        <scheme val="minor"/>
      </rPr>
      <t>Risk of Inadequate Documentation of AI System Design and Development</t>
    </r>
    <r>
      <rPr>
        <sz val="11"/>
        <color theme="1"/>
        <rFont val="Calibri"/>
        <family val="2"/>
        <scheme val="minor"/>
      </rPr>
      <t xml:space="preserve">
Failure to document AI system design and development based on organizational objectives, requirements, and specification criteria may lead to misalignment with business goals, regulatory non-compliance, inefficient development processes, and difficulties in auditing or troubleshooting, potentially resulting in project failures and legal risks.</t>
    </r>
  </si>
  <si>
    <r>
      <rPr>
        <b/>
        <sz val="11"/>
        <color theme="1"/>
        <rFont val="Calibri"/>
        <family val="2"/>
        <scheme val="minor"/>
      </rPr>
      <t>Risk of Undefined AI System Verification and Validation Measures</t>
    </r>
    <r>
      <rPr>
        <sz val="11"/>
        <color theme="1"/>
        <rFont val="Calibri"/>
        <family val="2"/>
        <scheme val="minor"/>
      </rPr>
      <t xml:space="preserve">
Failure to define and document verification and validation measures, along with criteria for their use, may lead to undetected errors, unreliable AI performance, regulatory non-compliance, and security vulnerabilities, potentially resulting in system failures, legal consequences, and loss of stakeholder trust.</t>
    </r>
  </si>
  <si>
    <r>
      <rPr>
        <b/>
        <sz val="11"/>
        <color theme="1"/>
        <rFont val="Calibri"/>
        <family val="2"/>
        <scheme val="minor"/>
      </rPr>
      <t>Risk of Inadequate AI System Deployment Planning</t>
    </r>
    <r>
      <rPr>
        <sz val="11"/>
        <color theme="1"/>
        <rFont val="Calibri"/>
        <family val="2"/>
        <scheme val="minor"/>
      </rPr>
      <t xml:space="preserve">
Failure to document a deployment plan and ensure that appropriate requirements are met before deployment may lead to operational disruptions, security vulnerabilities, non-compliance with regulations, and system performance issues, potentially resulting in financial losses, reputational damage, and user trust erosion.</t>
    </r>
  </si>
  <si>
    <r>
      <rPr>
        <b/>
        <sz val="11"/>
        <color theme="1"/>
        <rFont val="Calibri"/>
        <family val="2"/>
        <scheme val="minor"/>
      </rPr>
      <t>Risk of Undefined AI System Operational Requirements</t>
    </r>
    <r>
      <rPr>
        <sz val="11"/>
        <color theme="1"/>
        <rFont val="Calibri"/>
        <family val="2"/>
        <scheme val="minor"/>
      </rPr>
      <t xml:space="preserve">
Failure to define and document the necessary elements for the ongoing operation of the AI system, including system monitoring, performance tracking, repairs, updates, and support, may lead to system failures, degraded performance, security vulnerabilities, and regulatory non-compliance, potentially resulting in operational disruptions and reputational damage.</t>
    </r>
  </si>
  <si>
    <r>
      <rPr>
        <b/>
        <sz val="11"/>
        <color theme="1"/>
        <rFont val="Calibri"/>
        <family val="2"/>
        <scheme val="minor"/>
      </rPr>
      <t>Risk of Inadequate AI System Technical Documentation</t>
    </r>
    <r>
      <rPr>
        <sz val="11"/>
        <color theme="1"/>
        <rFont val="Calibri"/>
        <family val="2"/>
        <scheme val="minor"/>
      </rPr>
      <t xml:space="preserve">
Failure to determine and provide necessary AI system technical documentation for relevant stakeholders, such as users, partners, and supervisory authorities, may lead to misunderstandings, non-compliance with regulatory requirements, operational inefficiencies, and reduced trust, potentially resulting in legal consequences and reputational damage.</t>
    </r>
  </si>
  <si>
    <r>
      <rPr>
        <b/>
        <sz val="11"/>
        <color theme="1"/>
        <rFont val="Calibri"/>
        <family val="2"/>
        <scheme val="minor"/>
      </rPr>
      <t>Risk of Insufficient AI System Event Logging</t>
    </r>
    <r>
      <rPr>
        <sz val="11"/>
        <color theme="1"/>
        <rFont val="Calibri"/>
        <family val="2"/>
        <scheme val="minor"/>
      </rPr>
      <t xml:space="preserve">
Failure to determine and enable record-keeping of event logs at appropriate phases of the AI system life cycle, at a minimum during system use, may lead to gaps in accountability, difficulty in troubleshooting, non-compliance with regulatory requirements, and increased security risks, potentially resulting in operational failures and legal consequences.</t>
    </r>
  </si>
  <si>
    <r>
      <rPr>
        <b/>
        <sz val="11"/>
        <color theme="1"/>
        <rFont val="Calibri"/>
        <family val="2"/>
        <scheme val="minor"/>
      </rPr>
      <t>Risk of Poor AI Data Management</t>
    </r>
    <r>
      <rPr>
        <sz val="11"/>
        <color theme="1"/>
        <rFont val="Calibri"/>
        <family val="2"/>
        <scheme val="minor"/>
      </rPr>
      <t xml:space="preserve">
Failure to define, document, and implement data management processes for AI system development may lead to data quality issues, security vulnerabilities, regulatory non-compliance, and ethical risks, potentially resulting in biased AI outcomes, legal penalties, and reputational damage.
</t>
    </r>
  </si>
  <si>
    <r>
      <rPr>
        <b/>
        <sz val="11"/>
        <color theme="1"/>
        <rFont val="Calibri"/>
        <family val="2"/>
        <scheme val="minor"/>
      </rPr>
      <t>Risk of Unclear Data Acquisition and Selection for AI Systems</t>
    </r>
    <r>
      <rPr>
        <sz val="11"/>
        <color theme="1"/>
        <rFont val="Calibri"/>
        <family val="2"/>
        <scheme val="minor"/>
      </rPr>
      <t xml:space="preserve">
Failure to determine and document details about the acquisition and selection of data used in AI systems may result in data quality issues, bias, security vulnerabilities, and regulatory non-compliance, potentially leading to inaccurate AI outputs, legal consequences, and reputational damage.</t>
    </r>
  </si>
  <si>
    <r>
      <rPr>
        <b/>
        <sz val="11"/>
        <color theme="1"/>
        <rFont val="Calibri"/>
        <family val="2"/>
        <scheme val="minor"/>
      </rPr>
      <t>Risk of Poor Data Quality in AI Systems</t>
    </r>
    <r>
      <rPr>
        <sz val="11"/>
        <color theme="1"/>
        <rFont val="Calibri"/>
        <family val="2"/>
        <scheme val="minor"/>
      </rPr>
      <t xml:space="preserve">
Failure to define and document data quality requirements and ensure compliance may lead to biased or inaccurate AI outputs, security vulnerabilities, regulatory non-compliance, and operational inefficiencies, potentially resulting in flawed decision-making, reputational damage, and legal consequences.</t>
    </r>
  </si>
  <si>
    <r>
      <rPr>
        <b/>
        <sz val="11"/>
        <color theme="1"/>
        <rFont val="Calibri"/>
        <family val="2"/>
        <scheme val="minor"/>
      </rPr>
      <t>Risk of Undefined Data Provenance Tracking in AI Systems</t>
    </r>
    <r>
      <rPr>
        <sz val="11"/>
        <color theme="1"/>
        <rFont val="Calibri"/>
        <family val="2"/>
        <scheme val="minor"/>
      </rPr>
      <t xml:space="preserve">
Failure to define and document a process for recording the provenance of data used in AI systems throughout their life cycles may lead to data integrity issues, compliance risks, security vulnerabilities, and reduced transparency, potentially resulting in biased AI outcomes, legal consequences, and loss of stakeholder trust.</t>
    </r>
  </si>
  <si>
    <r>
      <rPr>
        <b/>
        <sz val="11"/>
        <color theme="1"/>
        <rFont val="Calibri"/>
        <family val="2"/>
        <scheme val="minor"/>
      </rPr>
      <t>Risk of Inadequate Data Preparation Criteria for AI Systems</t>
    </r>
    <r>
      <rPr>
        <sz val="11"/>
        <color theme="1"/>
        <rFont val="Calibri"/>
        <family val="2"/>
        <scheme val="minor"/>
      </rPr>
      <t xml:space="preserve">
Failure to define and document criteria for selecting data preparations and methods may lead to inconsistent data processing, biased AI models, regulatory non-compliance, and reduced system reliability, potentially resulting in inaccurate outputs, ethical concerns, and reputational damage.</t>
    </r>
  </si>
  <si>
    <r>
      <rPr>
        <b/>
        <sz val="11"/>
        <color theme="1"/>
        <rFont val="Calibri"/>
        <family val="2"/>
        <scheme val="minor"/>
      </rPr>
      <t>Risk of Inadequate User Information for AI Systems</t>
    </r>
    <r>
      <rPr>
        <sz val="11"/>
        <color theme="1"/>
        <rFont val="Calibri"/>
        <family val="2"/>
        <scheme val="minor"/>
      </rPr>
      <t xml:space="preserve">
Failure to determine and provide necessary information to users of the AI system may lead to misuse, lack of transparency, compliance violations, and reduced user trust, potentially resulting in operational inefficiencies, legal consequences, and reputational damage.</t>
    </r>
  </si>
  <si>
    <r>
      <rPr>
        <b/>
        <sz val="11"/>
        <color theme="1"/>
        <rFont val="Calibri"/>
        <family val="2"/>
        <scheme val="minor"/>
      </rPr>
      <t>Risk of Lack of Reporting Mechanism for AI Adverse Impacts</t>
    </r>
    <r>
      <rPr>
        <sz val="11"/>
        <color theme="1"/>
        <rFont val="Calibri"/>
        <family val="2"/>
        <scheme val="minor"/>
      </rPr>
      <t xml:space="preserve">
Failure to provide capabilities for interested parties to report adverse impacts of the AI system may result in unaddressed risks, ethical concerns, regulatory non-compliance, and loss of stakeholder trust, potentially leading to reputational damage and legal consequences.</t>
    </r>
  </si>
  <si>
    <r>
      <rPr>
        <b/>
        <sz val="11"/>
        <color theme="1"/>
        <rFont val="Calibri"/>
        <family val="2"/>
        <scheme val="minor"/>
      </rPr>
      <t>Risk of Ineffective AI Incident Communication</t>
    </r>
    <r>
      <rPr>
        <sz val="11"/>
        <color theme="1"/>
        <rFont val="Calibri"/>
        <family val="2"/>
        <scheme val="minor"/>
      </rPr>
      <t xml:space="preserve">
Failure to determine and document a plan for communicating AI system incidents to users may lead to misinformation, delayed responses, regulatory non-compliance, and reduced user trust, potentially resulting in operational disruptions, reputational damage, and legal consequences.</t>
    </r>
  </si>
  <si>
    <r>
      <rPr>
        <b/>
        <sz val="11"/>
        <color theme="1"/>
        <rFont val="Calibri"/>
        <family val="2"/>
        <scheme val="minor"/>
      </rPr>
      <t>Risk of Undefined AI System Reporting Obligations</t>
    </r>
    <r>
      <rPr>
        <sz val="11"/>
        <color theme="1"/>
        <rFont val="Calibri"/>
        <family val="2"/>
        <scheme val="minor"/>
      </rPr>
      <t xml:space="preserve">
Failure to determine and document obligations for reporting AI system information to interested parties may lead to non-compliance with regulatory requirements, lack of transparency, reduced stakeholder trust, and potential legal consequences, ultimately impacting the organization's reputation and accountability.</t>
    </r>
  </si>
  <si>
    <r>
      <rPr>
        <b/>
        <sz val="11"/>
        <color theme="1"/>
        <rFont val="Calibri"/>
        <family val="2"/>
        <scheme val="minor"/>
      </rPr>
      <t>Risk of Undefined Processes for Responsible AI Use</t>
    </r>
    <r>
      <rPr>
        <sz val="11"/>
        <color theme="1"/>
        <rFont val="Calibri"/>
        <family val="2"/>
        <scheme val="minor"/>
      </rPr>
      <t xml:space="preserve">
Failure to define and document processes for the responsible use of AI systems may result in ethical risks, regulatory non-compliance, misuse of AI technologies, and security vulnerabilities, potentially leading to reputational damage, legal consequences, and operational failures.</t>
    </r>
  </si>
  <si>
    <r>
      <rPr>
        <b/>
        <sz val="11"/>
        <color theme="1"/>
        <rFont val="Calibri"/>
        <family val="2"/>
        <scheme val="minor"/>
      </rPr>
      <t>Risk of Undefined Objectives for Responsible AI Use</t>
    </r>
    <r>
      <rPr>
        <sz val="11"/>
        <color theme="1"/>
        <rFont val="Calibri"/>
        <family val="2"/>
        <scheme val="minor"/>
      </rPr>
      <t xml:space="preserve">
Failure to identify and document objectives for the responsible use of AI systems may lead to ethical concerns, regulatory non-compliance, inconsistent AI application, and increased risks of misuse, potentially resulting in reputational damage, legal consequences, and loss of stakeholder trust.</t>
    </r>
  </si>
  <si>
    <r>
      <rPr>
        <b/>
        <sz val="11"/>
        <color theme="1"/>
        <rFont val="Calibri"/>
        <family val="2"/>
        <scheme val="minor"/>
      </rPr>
      <t>Risk of AI System Misuse</t>
    </r>
    <r>
      <rPr>
        <sz val="11"/>
        <color theme="1"/>
        <rFont val="Calibri"/>
        <family val="2"/>
        <scheme val="minor"/>
      </rPr>
      <t xml:space="preserve">
Failure to ensure that the AI system is used according to its intended purposes and accompanying documentation may lead to operational inefficiencies, security vulnerabilities, ethical concerns, and regulatory non-compliance, potentially resulting in system failures, reputational damage, and legal consequences.</t>
    </r>
  </si>
  <si>
    <r>
      <rPr>
        <b/>
        <sz val="11"/>
        <color theme="1"/>
        <rFont val="Calibri"/>
        <family val="2"/>
        <scheme val="minor"/>
      </rPr>
      <t>Risk of Unclear AI System Lifecycle Responsibilities</t>
    </r>
    <r>
      <rPr>
        <sz val="11"/>
        <color theme="1"/>
        <rFont val="Calibri"/>
        <family val="2"/>
        <scheme val="minor"/>
      </rPr>
      <t xml:space="preserve">
Failure to allocate responsibilities within the AI system lifecycle among the organization, partners, suppliers, customers, and third parties may lead to accountability gaps, compliance failures, operational inefficiencies, and increased security risks, potentially resulting in legal disputes, reputational damage, and system failures.</t>
    </r>
  </si>
  <si>
    <r>
      <rPr>
        <b/>
        <sz val="11"/>
        <color theme="1"/>
        <rFont val="Calibri"/>
        <family val="2"/>
        <scheme val="minor"/>
      </rPr>
      <t>Risk of Misalignment Between Supplier Practices and Responsible AI Principles</t>
    </r>
    <r>
      <rPr>
        <sz val="11"/>
        <color theme="1"/>
        <rFont val="Calibri"/>
        <family val="2"/>
        <scheme val="minor"/>
      </rPr>
      <t xml:space="preserve">
Failure to establish a process ensuring that supplier-provided services, products, or materials align with the organization’s responsible AI development and usage approach may lead to ethical risks, regulatory non-compliance, security vulnerabilities, and reputational damage, potentially resulting in operational disruptions and legal consequences.</t>
    </r>
  </si>
  <si>
    <r>
      <rPr>
        <b/>
        <sz val="11"/>
        <color theme="1"/>
        <rFont val="Calibri"/>
        <family val="2"/>
        <scheme val="minor"/>
      </rPr>
      <t>Risk of Misalignment Between AI Development and Customer Expectations</t>
    </r>
    <r>
      <rPr>
        <sz val="11"/>
        <color theme="1"/>
        <rFont val="Calibri"/>
        <family val="2"/>
        <scheme val="minor"/>
      </rPr>
      <t xml:space="preserve">
Failure to ensure that the organization's responsible AI development and usage approach aligns with customer expectations and needs may lead to reduced user trust, ethical concerns, regulatory non-compliance, and decreased adoption, potentially resulting in reputational damage and business losses.</t>
    </r>
  </si>
  <si>
    <t>Hemang Doshi Techassurance has documented a well defined and structured policy for the development or use of AI systems.
(Refer AIMS Policy version 1 dated 1/Jan/2026)</t>
  </si>
  <si>
    <t>AIMS is completely aligned with other relevant policies such as ISMS and Risk Management Policy of the organization. 
Compliance Officer is responsbile to ensure that no conflict arises between AIMS and other policies of the organization.</t>
  </si>
  <si>
    <t>Hemang Doshi Techassurance has a process to review AI Policy at planned intervals or additionally as needed to ensure its continuing suitability, adequacy and effectiveness.
(Refer section 5 of AIMS Policy)</t>
  </si>
  <si>
    <t>Hemang Doshi Techassurance has defined the Roles and responsibilities for AI and allocated according to the needs of the organization.
(Refer section 12 of AIMS Policy)</t>
  </si>
  <si>
    <t>Hemang Doshi Techassurance has  defined and put in place a process to report concerns about the organization’s role with respect to an AI system throughout its life cycle.
(Refer section 19 of AIMS Policy)</t>
  </si>
  <si>
    <t>Hemang Doshi Techassurance has  identifed and documented relevant resources required for the activities at given AI system life cycle stages and other AI-related activities relevant for the organization.
(Refer section 16 of AIMS Policy)</t>
  </si>
  <si>
    <t>Hemang Doshi Techassurance has  documented information about the data resources utilized for the AI system, as part of resource identification.
(Refer section 20 of AIMS Policy)</t>
  </si>
  <si>
    <t>Hemang Doshi Techassurance has documented information about the tooling resources utilized for the AI system, as part of resource identification.
(Refer section 20 of AIMS Policy)</t>
  </si>
  <si>
    <t>Hemang Doshi Techassurance has documented information about the system and computing resources utilized for the AI system, as part of resource identification. 
(Refer section 20 of AIMS Policy)</t>
  </si>
  <si>
    <t>Hemang Doshi Techassurance has documented information about the human resources and their competences utilized for the development, deployment, operation, change management, maintenance, transfer and decommissioning, as well as verification and integration of the AI system, as part of resource identification.
(Refer section 17 of AIMS Policy)</t>
  </si>
  <si>
    <t>Hemang Doshi Techassurance has established a process to assess the potential consequences for individuals or groups of individuals, or both, and societies that can result from the AI system throughout its life cycle.
(Refer section 14 of AIMS Policy)</t>
  </si>
  <si>
    <t xml:space="preserve">Hemang Doshi Techassurance has documented the results of AI system impact assessments and retain results for a defined period.
(Refer section 14 and section 20 of AIMS Policy)
</t>
  </si>
  <si>
    <t>Hemang Doshi Techassurance has assessed and documented the potential impacts of AI systems to individuals or groups of individuals throughout the system’s life cycle.
(Refer section 14 of AIMS Policy)</t>
  </si>
  <si>
    <t>Hemang Doshi Techassurance has assessed and documented the potential societal impacts of their AI systems throughout their life cycle.
(Refer section 14 of AIMS Policy)</t>
  </si>
  <si>
    <t>Hemang Doshi Techassurance has  identified and documented objectives to guide the responsible development AI systems, and take those objectives into account and integrate measures to achieve them in the development life cycle.
(Refer section 11 of AIMS Policy)</t>
  </si>
  <si>
    <t>Hemang Doshi Techassurance has defined and documented the specific processes for the responsible design and development of the AI system.
(Refer section 20 of AIMS Policy)</t>
  </si>
  <si>
    <t>Hemang Doshi Techassurance has specified and documented requirements for new AI systems or material enhancements to existing systems.
(Refer SDLC Policy)</t>
  </si>
  <si>
    <t>Hemang Doshi Techassurance has documented the AI system design and development based on organizational objectives, documented requirements and specification criteria.
(Refer section 11 of AIMS Policy)</t>
  </si>
  <si>
    <t>Hemang Doshi Techassurance has defined and documented verification and validation measures for the AI system and specify criteria for their use.
(Refer section 11 of AIMS Policy)</t>
  </si>
  <si>
    <t>Hemang Doshi Techassurance has documented a deployment plan and ensure that appropriate requirements are met prior to deployment.
(Refer SDLC Policy)</t>
  </si>
  <si>
    <t>Hemang Doshi Techassurance has defined and documented the necessary elements for the ongoing operation of the AI system. At the minimum, this should include system and performance monitoring, repairs, updates and support.
(Refer section 11 of AIMS Policy)</t>
  </si>
  <si>
    <t>Hemang Doshi Techassurance has defined as process of disclosue to third party only after due approval. 
(Refer section 20 of AIMS Policy)</t>
  </si>
  <si>
    <t>Hemang Doshi Techassurance has determined at which phases of the AI system life cycle, record keeping of event logs should be enabled.
(Refer ISMS Policy)</t>
  </si>
  <si>
    <t>Hemang Doshi Techassurance has defined, documented and implemented data management processes related to the development of AI systems.
(Refer section 26 of AIMS Policy)</t>
  </si>
  <si>
    <t>Hemang Doshi Techassurance has determined and documented details about the acquisition and selection of the data used in AI systems.
(Refer section 26 of AIMS Policy)</t>
  </si>
  <si>
    <t>Hemang Doshi Techassurance has defined and documented requirements for data quality and ensure that data used to develop and operate the AI system meet those requirements.
(Refer section 26 of AIMS Policy)</t>
  </si>
  <si>
    <t>Hemang Doshi Techassurance has defined and documented a process for recording the provenance of data used in its AI systems over the life cycles of the data and the AI system.
(Refer section 26 of AIMS Policy)</t>
  </si>
  <si>
    <t>Hemang Doshi Techassurance has defined and documented its criteria for selecting data preparations and the data preparation methods to be used.
(Refer section 26 of AIMS Policy)</t>
  </si>
  <si>
    <t>Hemang Doshi Techassurance has determined and provided the necessary information to users of the AI system.
(Refer section 17 and section 18 of AIMS Policy)</t>
  </si>
  <si>
    <t>Hemang Doshi Techassurance has provided capabilities for interested parties to report adverse impacts of the AI system.
(Refer section 16 of AIMS Policy)</t>
  </si>
  <si>
    <t>Hemang Doshi Techassurance has determined and documented a plan for communicating incidents to users of the AI system.
(Refer section 16 of AIMS Policy)</t>
  </si>
  <si>
    <t>Hemang Doshi Techassurance has determined and documented their obligations to reporting information about the AI system to interested parties.
(Refer section 19 of AIMS Policy)</t>
  </si>
  <si>
    <t>Hemang Doshi Techassurance has defined and documented the processes for the responsible use of AI systems.
(Refer section 13 and section 14 of AIMS Policy)</t>
  </si>
  <si>
    <t>Hemang Doshi Techassurance has identified and documented objectives to guide the responsible use of AI systems.
(Refer section 13 and section 14 of AIMS Policy)</t>
  </si>
  <si>
    <t>Hemang Doshi Techassurance has ensured that the AI system is used according to the intended uses of the AI system and its accompanying documentation.
(Refer section 11 of AIMS Policy)</t>
  </si>
  <si>
    <t>Hemang Doshi Techassurance has ensured that responsibilities within their AI system life cycle are allocated between the organization, its partners, suppliers, customers and third parties.
(Refer section 27 of AIMS Policy)</t>
  </si>
  <si>
    <t>Hemang Doshi Techassurance has established a process to ensure that its usage of services, products or materials provided by suppliers aligns with the organization’s approach to the responsible development and use of AI systems.
(Refer section 27 of AIMS Policy)</t>
  </si>
  <si>
    <t>Hemang Doshi Techassurance has ensured that its responsible approach to the development and use of AI systems considers their customer expectations and needs.
(Refer section 9 and section 13 of AIMS Policy)</t>
  </si>
  <si>
    <t>AI - 2</t>
  </si>
  <si>
    <t>AI - 3</t>
  </si>
  <si>
    <t>AI - 4</t>
  </si>
  <si>
    <t>AI - 5</t>
  </si>
  <si>
    <t>AI - 6</t>
  </si>
  <si>
    <t>AI - 7</t>
  </si>
  <si>
    <t>AI - 8</t>
  </si>
  <si>
    <t>AI - 9</t>
  </si>
  <si>
    <t>AI - 10</t>
  </si>
  <si>
    <t>AI - 11</t>
  </si>
  <si>
    <t>AI - 12</t>
  </si>
  <si>
    <t>AI - 13</t>
  </si>
  <si>
    <t>AI - 14</t>
  </si>
  <si>
    <t>AI - 15</t>
  </si>
  <si>
    <t>AI - 16</t>
  </si>
  <si>
    <t>AI - 17</t>
  </si>
  <si>
    <t>AI - 18</t>
  </si>
  <si>
    <t>AI - 19</t>
  </si>
  <si>
    <t>AI - 20</t>
  </si>
  <si>
    <t>AI - 21</t>
  </si>
  <si>
    <t>AI - 22</t>
  </si>
  <si>
    <t>AI - 23</t>
  </si>
  <si>
    <t>AI - 24</t>
  </si>
  <si>
    <t>AI - 25</t>
  </si>
  <si>
    <t>AI - 26</t>
  </si>
  <si>
    <t>AI - 27</t>
  </si>
  <si>
    <t>AI - 28</t>
  </si>
  <si>
    <t>AI - 29</t>
  </si>
  <si>
    <t>AI - 30</t>
  </si>
  <si>
    <t>AI - 31</t>
  </si>
  <si>
    <t>AI - 32</t>
  </si>
  <si>
    <t>AI - 33</t>
  </si>
  <si>
    <t>AI - 34</t>
  </si>
  <si>
    <t>AI - 35</t>
  </si>
  <si>
    <t>AI - 36</t>
  </si>
  <si>
    <t>AI - 37</t>
  </si>
  <si>
    <t>AI - 38</t>
  </si>
  <si>
    <t>A.2.2</t>
  </si>
  <si>
    <t>A.2.3</t>
  </si>
  <si>
    <t>A.2.4</t>
  </si>
  <si>
    <t>A.3.2</t>
  </si>
  <si>
    <t>A.3.3</t>
  </si>
  <si>
    <t>A.4.2</t>
  </si>
  <si>
    <t>A.4.3</t>
  </si>
  <si>
    <t>A.4.4</t>
  </si>
  <si>
    <t>A.4.5</t>
  </si>
  <si>
    <t>A.4.6</t>
  </si>
  <si>
    <t>A.5.2</t>
  </si>
  <si>
    <t>A.5.3</t>
  </si>
  <si>
    <t>A.5.4</t>
  </si>
  <si>
    <t>A.5.5</t>
  </si>
  <si>
    <t>A.6.1.2</t>
  </si>
  <si>
    <t>A.6.1.3</t>
  </si>
  <si>
    <t>A.6.2.2</t>
  </si>
  <si>
    <t>A.6.2.3</t>
  </si>
  <si>
    <t>A.6.2.4</t>
  </si>
  <si>
    <t>A.6.2.5</t>
  </si>
  <si>
    <t>A.6.2.6</t>
  </si>
  <si>
    <t>A.6.2.7</t>
  </si>
  <si>
    <t>A.6.2.8</t>
  </si>
  <si>
    <t>A.7.2</t>
  </si>
  <si>
    <t>A.7.3</t>
  </si>
  <si>
    <t>A.7.4</t>
  </si>
  <si>
    <t>A.7.5</t>
  </si>
  <si>
    <t>A.7.6</t>
  </si>
  <si>
    <t>A.8.2</t>
  </si>
  <si>
    <t>A.8.3</t>
  </si>
  <si>
    <t>A.8.4</t>
  </si>
  <si>
    <t>A.8.5</t>
  </si>
  <si>
    <t>A.9.2</t>
  </si>
  <si>
    <t>A.9.3</t>
  </si>
  <si>
    <t>A.9.4</t>
  </si>
  <si>
    <t>A.10.2</t>
  </si>
  <si>
    <t>A.10.3</t>
  </si>
  <si>
    <t>A.10.4</t>
  </si>
  <si>
    <t>Approval for Risk Treatment Plan</t>
  </si>
  <si>
    <t>A chatbot that handles customer service inquiries 24/7, reducing the need for human agents.</t>
  </si>
  <si>
    <t>AI-powered fraud detection in banking, identifying suspicious transactions faster than humans.</t>
  </si>
  <si>
    <t>Document Name</t>
  </si>
  <si>
    <t>Head - Risk Management</t>
  </si>
  <si>
    <t xml:space="preserve">Applicable Date </t>
  </si>
  <si>
    <t>Document Properties</t>
  </si>
  <si>
    <t>Property</t>
  </si>
  <si>
    <t>Data Classification</t>
  </si>
  <si>
    <t>Document Approver</t>
  </si>
  <si>
    <t>Document Version</t>
  </si>
  <si>
    <t>Document Format</t>
  </si>
  <si>
    <t>Effective Date</t>
  </si>
  <si>
    <t>Distribution</t>
  </si>
  <si>
    <t>Revision History</t>
  </si>
  <si>
    <t>Approved by</t>
  </si>
  <si>
    <t xml:space="preserve">Approval Date </t>
  </si>
  <si>
    <t>Summary of Changes</t>
  </si>
  <si>
    <t>Initial Release</t>
  </si>
  <si>
    <t>MD &amp; CEO</t>
  </si>
  <si>
    <t>Cyber Secuirty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</si>
</sst>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0"/>
      <color theme="1"/>
      <name val="Segoe UI"/>
      <family val="2"/>
    </font>
    <font>
      <sz val="10"/>
      <name val="Segoe UI"/>
      <family val="2"/>
    </font>
    <font>
      <b/>
      <sz val="10"/>
      <color theme="0"/>
      <name val="Segoe UI"/>
      <family val="2"/>
    </font>
    <font>
      <sz val="8"/>
      <name val="Calibri"/>
      <family val="2"/>
      <scheme val="minor"/>
    </font>
    <font>
      <u/>
      <sz val="11"/>
      <color theme="10"/>
      <name val="Calibri"/>
      <family val="2"/>
      <scheme val="minor"/>
    </font>
    <font>
      <b/>
      <sz val="10"/>
      <name val="Segoe UI"/>
      <family val="2"/>
    </font>
    <font>
      <b/>
      <sz val="10"/>
      <color theme="1"/>
      <name val="Segoe UI"/>
      <family val="2"/>
    </font>
    <font>
      <sz val="12"/>
      <name val="Times New Roman"/>
      <family val="1"/>
    </font>
    <font>
      <sz val="12"/>
      <color theme="1"/>
      <name val="Calibri"/>
      <family val="2"/>
      <scheme val="minor"/>
    </font>
    <font>
      <b/>
      <sz val="11"/>
      <color theme="0"/>
      <name val="Calibri"/>
      <family val="2"/>
      <scheme val="minor"/>
    </font>
    <font>
      <b/>
      <sz val="12"/>
      <color theme="0"/>
      <name val="Calibri"/>
      <family val="2"/>
      <scheme val="minor"/>
    </font>
    <font>
      <u/>
      <sz val="12"/>
      <color theme="10"/>
      <name val="Calibri"/>
      <family val="2"/>
      <scheme val="minor"/>
    </font>
    <font>
      <sz val="12"/>
      <name val="Calibri"/>
      <family val="2"/>
      <scheme val="minor"/>
    </font>
    <font>
      <b/>
      <sz val="12"/>
      <color theme="1"/>
      <name val="Calibri"/>
      <family val="2"/>
      <scheme val="minor"/>
    </font>
    <font>
      <b/>
      <sz val="14"/>
      <color theme="0"/>
      <name val="Calibri"/>
      <family val="2"/>
      <scheme val="minor"/>
    </font>
    <font>
      <b/>
      <sz val="11"/>
      <color theme="1"/>
      <name val="Calibri"/>
      <family val="2"/>
      <scheme val="minor"/>
    </font>
    <font>
      <i/>
      <sz val="11"/>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FF0000"/>
        <bgColor indexed="64"/>
      </patternFill>
    </fill>
    <fill>
      <patternFill patternType="solid">
        <fgColor rgb="FFCC00FF"/>
        <bgColor indexed="64"/>
      </patternFill>
    </fill>
    <fill>
      <patternFill patternType="solid">
        <fgColor rgb="FF00B0F0"/>
        <bgColor indexed="64"/>
      </patternFill>
    </fill>
    <fill>
      <patternFill patternType="solid">
        <fgColor rgb="FF00B050"/>
        <bgColor indexed="64"/>
      </patternFill>
    </fill>
    <fill>
      <patternFill patternType="solid">
        <fgColor rgb="FFFFFF00"/>
        <bgColor indexed="64"/>
      </patternFill>
    </fill>
    <fill>
      <patternFill patternType="solid">
        <fgColor rgb="FFFF00FF"/>
        <bgColor indexed="64"/>
      </patternFill>
    </fill>
    <fill>
      <patternFill patternType="solid">
        <fgColor rgb="FF00FFFF"/>
        <bgColor indexed="64"/>
      </patternFill>
    </fill>
    <fill>
      <patternFill patternType="solid">
        <fgColor rgb="FFF2F2F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bottom style="medium">
        <color indexed="64"/>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s>
  <cellStyleXfs count="12">
    <xf numFmtId="0" fontId="0" fillId="0" borderId="0"/>
    <xf numFmtId="0" fontId="1" fillId="0" borderId="0"/>
    <xf numFmtId="0" fontId="1" fillId="0" borderId="0"/>
    <xf numFmtId="0" fontId="1" fillId="0" borderId="0"/>
    <xf numFmtId="0" fontId="1" fillId="0" borderId="0"/>
    <xf numFmtId="0" fontId="1" fillId="0" borderId="0"/>
    <xf numFmtId="0" fontId="6" fillId="0" borderId="0" applyNumberFormat="0" applyFill="0" applyBorder="0" applyAlignment="0" applyProtection="0"/>
    <xf numFmtId="0" fontId="1" fillId="0" borderId="0"/>
    <xf numFmtId="0" fontId="9" fillId="0" borderId="0"/>
    <xf numFmtId="0" fontId="9" fillId="0" borderId="0" applyNumberFormat="0" applyFill="0" applyBorder="0" applyAlignment="0" applyProtection="0"/>
    <xf numFmtId="0" fontId="2" fillId="0" borderId="0"/>
    <xf numFmtId="0" fontId="1" fillId="0" borderId="0"/>
  </cellStyleXfs>
  <cellXfs count="91">
    <xf numFmtId="0" fontId="0" fillId="0" borderId="0" xfId="0"/>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0" xfId="0" applyFont="1"/>
    <xf numFmtId="0" fontId="2" fillId="0" borderId="0" xfId="0" applyFont="1" applyAlignment="1">
      <alignment vertical="center"/>
    </xf>
    <xf numFmtId="0" fontId="3" fillId="0" borderId="1" xfId="0" applyFont="1" applyBorder="1" applyAlignment="1">
      <alignment horizontal="left" vertical="top" wrapText="1"/>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vertical="top" wrapText="1"/>
    </xf>
    <xf numFmtId="0" fontId="3" fillId="2" borderId="1" xfId="0" applyFont="1" applyFill="1" applyBorder="1" applyAlignment="1">
      <alignment horizontal="left" vertical="top" wrapText="1"/>
    </xf>
    <xf numFmtId="0" fontId="2" fillId="0" borderId="0" xfId="0" applyFont="1" applyAlignment="1">
      <alignment wrapText="1"/>
    </xf>
    <xf numFmtId="0" fontId="8" fillId="0" borderId="0" xfId="0" applyFont="1"/>
    <xf numFmtId="0" fontId="8" fillId="3" borderId="1" xfId="0" applyFont="1" applyFill="1" applyBorder="1" applyAlignment="1">
      <alignment horizontal="center"/>
    </xf>
    <xf numFmtId="0" fontId="8" fillId="3" borderId="1" xfId="0" applyFont="1" applyFill="1" applyBorder="1"/>
    <xf numFmtId="0" fontId="8" fillId="3" borderId="1" xfId="0" applyFont="1" applyFill="1" applyBorder="1" applyAlignment="1">
      <alignment wrapText="1"/>
    </xf>
    <xf numFmtId="0" fontId="8" fillId="3" borderId="1" xfId="0" applyFont="1" applyFill="1" applyBorder="1" applyAlignment="1">
      <alignment horizontal="center" vertical="center" wrapText="1"/>
    </xf>
    <xf numFmtId="0" fontId="3" fillId="0" borderId="1" xfId="0" applyFont="1" applyBorder="1" applyAlignment="1">
      <alignment vertical="center" wrapText="1"/>
    </xf>
    <xf numFmtId="0" fontId="3" fillId="2" borderId="1" xfId="0" applyFont="1" applyFill="1" applyBorder="1" applyAlignment="1">
      <alignment vertical="center" wrapText="1"/>
    </xf>
    <xf numFmtId="0" fontId="7" fillId="0" borderId="0" xfId="0" applyFont="1" applyAlignment="1">
      <alignment vertical="center"/>
    </xf>
    <xf numFmtId="0" fontId="3" fillId="0" borderId="0" xfId="0" applyFont="1"/>
    <xf numFmtId="0" fontId="3" fillId="4" borderId="1" xfId="0" applyFont="1" applyFill="1" applyBorder="1" applyAlignment="1">
      <alignment horizontal="center" vertical="center"/>
    </xf>
    <xf numFmtId="0" fontId="3" fillId="4" borderId="0" xfId="0" applyFont="1" applyFill="1"/>
    <xf numFmtId="0" fontId="2" fillId="5"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7" fillId="0" borderId="1" xfId="0" applyFont="1" applyBorder="1" applyAlignment="1">
      <alignment vertical="center"/>
    </xf>
    <xf numFmtId="0" fontId="2" fillId="0" borderId="1" xfId="0" applyFont="1" applyBorder="1" applyAlignment="1">
      <alignment horizontal="center"/>
    </xf>
    <xf numFmtId="49" fontId="2" fillId="0" borderId="1" xfId="0" applyNumberFormat="1" applyFont="1" applyBorder="1" applyAlignment="1">
      <alignment horizontal="center"/>
    </xf>
    <xf numFmtId="0" fontId="2" fillId="9" borderId="1" xfId="0" applyFont="1" applyFill="1" applyBorder="1" applyAlignment="1">
      <alignment horizontal="center" wrapText="1"/>
    </xf>
    <xf numFmtId="0" fontId="2" fillId="10" borderId="1" xfId="0" applyFont="1" applyFill="1" applyBorder="1" applyAlignment="1">
      <alignment horizontal="center" wrapText="1"/>
    </xf>
    <xf numFmtId="0" fontId="2" fillId="6" borderId="1" xfId="0" applyFont="1" applyFill="1" applyBorder="1" applyAlignment="1">
      <alignment horizontal="center" wrapText="1"/>
    </xf>
    <xf numFmtId="0" fontId="2" fillId="8" borderId="1" xfId="0" applyFont="1" applyFill="1" applyBorder="1" applyAlignment="1">
      <alignment horizontal="center"/>
    </xf>
    <xf numFmtId="0" fontId="2" fillId="8" borderId="1" xfId="0" applyFont="1" applyFill="1" applyBorder="1" applyAlignment="1">
      <alignment horizontal="center" wrapText="1"/>
    </xf>
    <xf numFmtId="0" fontId="0" fillId="0" borderId="1" xfId="0" applyBorder="1" applyAlignment="1">
      <alignment horizontal="center"/>
    </xf>
    <xf numFmtId="0" fontId="2" fillId="0" borderId="1" xfId="0" applyFont="1" applyBorder="1" applyAlignment="1">
      <alignment vertical="top" wrapText="1"/>
    </xf>
    <xf numFmtId="0" fontId="4" fillId="11" borderId="0" xfId="0" applyFont="1" applyFill="1"/>
    <xf numFmtId="0" fontId="11" fillId="11" borderId="1" xfId="0" applyFont="1" applyFill="1" applyBorder="1" applyAlignment="1">
      <alignment horizontal="center"/>
    </xf>
    <xf numFmtId="0" fontId="11" fillId="11" borderId="1" xfId="0" applyFont="1" applyFill="1" applyBorder="1" applyAlignment="1">
      <alignment horizontal="center" wrapText="1"/>
    </xf>
    <xf numFmtId="0" fontId="12" fillId="7" borderId="1" xfId="0" applyFont="1" applyFill="1" applyBorder="1" applyAlignment="1">
      <alignment horizontal="center" vertical="center" wrapText="1"/>
    </xf>
    <xf numFmtId="0" fontId="10" fillId="0" borderId="0" xfId="0" applyFont="1" applyAlignment="1">
      <alignment horizontal="center" vertical="center"/>
    </xf>
    <xf numFmtId="0" fontId="10" fillId="0" borderId="0" xfId="0" applyFont="1" applyAlignment="1">
      <alignment vertical="top"/>
    </xf>
    <xf numFmtId="0" fontId="13" fillId="0" borderId="0" xfId="6" applyFont="1" applyAlignment="1">
      <alignment horizontal="center" vertical="center" wrapText="1"/>
    </xf>
    <xf numFmtId="0" fontId="14" fillId="0" borderId="0" xfId="0" applyFont="1" applyAlignment="1">
      <alignment horizontal="left" vertical="center"/>
    </xf>
    <xf numFmtId="0" fontId="10" fillId="0" borderId="0" xfId="0" applyFont="1" applyAlignment="1">
      <alignment vertical="center"/>
    </xf>
    <xf numFmtId="0" fontId="10" fillId="0" borderId="0" xfId="0" applyFont="1"/>
    <xf numFmtId="0" fontId="10" fillId="0" borderId="0" xfId="0" applyFont="1" applyAlignment="1">
      <alignment horizontal="left" vertical="top" wrapText="1"/>
    </xf>
    <xf numFmtId="0" fontId="15" fillId="0" borderId="0" xfId="0" applyFont="1" applyAlignment="1">
      <alignment vertical="center"/>
    </xf>
    <xf numFmtId="0" fontId="10" fillId="0" borderId="1" xfId="0" applyFont="1" applyBorder="1" applyAlignment="1">
      <alignment vertical="top" wrapText="1"/>
    </xf>
    <xf numFmtId="0" fontId="10" fillId="0" borderId="1" xfId="0" applyFont="1" applyBorder="1"/>
    <xf numFmtId="0" fontId="10" fillId="0" borderId="1" xfId="0" applyFont="1" applyBorder="1" applyAlignment="1">
      <alignment horizontal="left" vertical="top" wrapText="1"/>
    </xf>
    <xf numFmtId="0" fontId="11" fillId="11" borderId="1" xfId="0" applyFont="1" applyFill="1" applyBorder="1" applyAlignment="1">
      <alignment horizontal="center" vertical="center" wrapText="1"/>
    </xf>
    <xf numFmtId="0" fontId="0" fillId="0" borderId="1" xfId="0" applyBorder="1" applyAlignment="1">
      <alignment vertical="center" wrapText="1"/>
    </xf>
    <xf numFmtId="0" fontId="2" fillId="11" borderId="0" xfId="0" applyFont="1" applyFill="1"/>
    <xf numFmtId="0" fontId="0" fillId="0" borderId="1" xfId="0" applyBorder="1" applyAlignment="1">
      <alignment horizontal="center" vertical="top"/>
    </xf>
    <xf numFmtId="0" fontId="0" fillId="9" borderId="1" xfId="0" applyFill="1" applyBorder="1" applyAlignment="1">
      <alignment horizontal="center"/>
    </xf>
    <xf numFmtId="0" fontId="0" fillId="10" borderId="1" xfId="0" applyFill="1" applyBorder="1" applyAlignment="1">
      <alignment horizontal="center"/>
    </xf>
    <xf numFmtId="0" fontId="0" fillId="6" borderId="1" xfId="0" applyFill="1" applyBorder="1" applyAlignment="1">
      <alignment horizontal="center"/>
    </xf>
    <xf numFmtId="0" fontId="2" fillId="0" borderId="1" xfId="0" applyFont="1" applyBorder="1" applyAlignment="1">
      <alignment horizontal="left" vertical="top" wrapText="1"/>
    </xf>
    <xf numFmtId="0" fontId="2" fillId="0" borderId="1" xfId="0" applyFont="1" applyBorder="1"/>
    <xf numFmtId="0" fontId="12" fillId="7" borderId="1" xfId="0" applyFont="1" applyFill="1" applyBorder="1" applyAlignment="1">
      <alignment horizontal="center" vertical="top" wrapText="1"/>
    </xf>
    <xf numFmtId="0" fontId="4" fillId="7"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Fill="1" applyBorder="1" applyAlignment="1">
      <alignment vertical="top" wrapText="1"/>
    </xf>
    <xf numFmtId="0" fontId="0" fillId="0" borderId="1" xfId="0" applyFill="1" applyBorder="1" applyAlignment="1">
      <alignment wrapText="1"/>
    </xf>
    <xf numFmtId="0" fontId="0" fillId="12" borderId="1" xfId="0" applyFill="1" applyBorder="1"/>
    <xf numFmtId="0" fontId="0" fillId="0" borderId="1" xfId="0" applyBorder="1" applyAlignment="1">
      <alignment horizontal="left"/>
    </xf>
    <xf numFmtId="15" fontId="0" fillId="0" borderId="1" xfId="0" applyNumberFormat="1" applyBorder="1" applyAlignment="1">
      <alignment horizontal="left"/>
    </xf>
    <xf numFmtId="0" fontId="18" fillId="13" borderId="10" xfId="0" applyFont="1" applyFill="1" applyBorder="1" applyAlignment="1">
      <alignment vertical="center" wrapText="1"/>
    </xf>
    <xf numFmtId="0" fontId="18" fillId="13" borderId="4" xfId="0" applyFont="1" applyFill="1" applyBorder="1" applyAlignment="1">
      <alignment vertical="center" wrapText="1"/>
    </xf>
    <xf numFmtId="0" fontId="0" fillId="0" borderId="4" xfId="0" applyBorder="1" applyAlignment="1">
      <alignment vertical="center" wrapText="1"/>
    </xf>
    <xf numFmtId="15" fontId="0" fillId="0" borderId="4" xfId="0" applyNumberFormat="1" applyBorder="1" applyAlignment="1">
      <alignment vertical="center" wrapText="1"/>
    </xf>
    <xf numFmtId="0" fontId="18" fillId="13" borderId="10" xfId="0" applyFont="1" applyFill="1" applyBorder="1" applyAlignment="1">
      <alignment horizontal="center" vertical="center" wrapText="1"/>
    </xf>
    <xf numFmtId="0" fontId="18" fillId="13" borderId="4" xfId="0" applyFont="1" applyFill="1" applyBorder="1" applyAlignment="1">
      <alignment horizontal="center" vertical="center" wrapText="1"/>
    </xf>
    <xf numFmtId="0" fontId="0" fillId="0" borderId="10" xfId="0" applyBorder="1" applyAlignment="1">
      <alignment horizontal="center" vertical="center" wrapText="1"/>
    </xf>
    <xf numFmtId="15" fontId="0" fillId="0" borderId="4" xfId="0" applyNumberFormat="1" applyBorder="1" applyAlignment="1">
      <alignment horizontal="center" vertical="center" wrapText="1"/>
    </xf>
    <xf numFmtId="0" fontId="0" fillId="0" borderId="4" xfId="0" applyBorder="1" applyAlignment="1">
      <alignment horizontal="center" vertical="center" wrapText="1"/>
    </xf>
    <xf numFmtId="0" fontId="17" fillId="13" borderId="8" xfId="0" applyFont="1" applyFill="1" applyBorder="1" applyAlignment="1">
      <alignment horizontal="center" vertical="center" wrapText="1"/>
    </xf>
    <xf numFmtId="0" fontId="17" fillId="13" borderId="9" xfId="0" applyFont="1" applyFill="1" applyBorder="1" applyAlignment="1">
      <alignment horizontal="center" vertical="center" wrapText="1"/>
    </xf>
    <xf numFmtId="0" fontId="17" fillId="13" borderId="11" xfId="0" applyFont="1" applyFill="1" applyBorder="1" applyAlignment="1">
      <alignment horizontal="center" vertical="center" wrapText="1"/>
    </xf>
    <xf numFmtId="0" fontId="18" fillId="13" borderId="12" xfId="0" applyFont="1" applyFill="1" applyBorder="1" applyAlignment="1">
      <alignment horizontal="center" vertical="center" wrapText="1"/>
    </xf>
    <xf numFmtId="0" fontId="18" fillId="13" borderId="10" xfId="0" applyFont="1" applyFill="1" applyBorder="1" applyAlignment="1">
      <alignment horizontal="center" vertical="center" wrapText="1"/>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1" xfId="0" applyFont="1" applyFill="1" applyBorder="1" applyAlignment="1">
      <alignment horizontal="center" vertical="center"/>
    </xf>
    <xf numFmtId="0" fontId="2" fillId="0" borderId="1" xfId="0" applyFont="1" applyBorder="1"/>
    <xf numFmtId="0" fontId="0" fillId="8" borderId="5" xfId="0" applyFill="1" applyBorder="1" applyAlignment="1">
      <alignment horizontal="center" vertical="center"/>
    </xf>
    <xf numFmtId="0" fontId="0" fillId="8" borderId="6" xfId="0" applyFill="1" applyBorder="1" applyAlignment="1">
      <alignment horizontal="center" vertical="center"/>
    </xf>
    <xf numFmtId="0" fontId="0" fillId="8" borderId="7" xfId="0" applyFill="1" applyBorder="1" applyAlignment="1">
      <alignment horizontal="center" vertical="center"/>
    </xf>
    <xf numFmtId="0" fontId="16" fillId="11" borderId="0" xfId="0" applyFont="1" applyFill="1" applyAlignment="1">
      <alignment horizontal="center"/>
    </xf>
  </cellXfs>
  <cellStyles count="12">
    <cellStyle name="Hyperlink" xfId="6" builtinId="8"/>
    <cellStyle name="Normal" xfId="0" builtinId="0"/>
    <cellStyle name="Normal 2" xfId="10"/>
    <cellStyle name="Normal 2 2 10" xfId="8"/>
    <cellStyle name="Normal 3 2" xfId="9"/>
    <cellStyle name="Normal 3 4" xfId="1"/>
    <cellStyle name="Normal 3 4 2" xfId="2"/>
    <cellStyle name="Normal 3 4 2 2" xfId="4"/>
    <cellStyle name="Normal 3 4 3" xfId="5"/>
    <cellStyle name="Normal 3 4 3 2" xfId="11"/>
    <cellStyle name="Normal 6" xfId="3"/>
    <cellStyle name="Normal 6 2 3" xfId="7"/>
  </cellStyles>
  <dxfs count="33">
    <dxf>
      <fill>
        <patternFill>
          <bgColor rgb="FF92D050"/>
        </patternFill>
      </fill>
    </dxf>
    <dxf>
      <fill>
        <patternFill>
          <bgColor rgb="FFFFFF00"/>
        </patternFill>
      </fill>
    </dxf>
    <dxf>
      <fill>
        <patternFill>
          <bgColor rgb="FFFF0000"/>
        </patternFill>
      </fill>
    </dxf>
    <dxf>
      <fill>
        <patternFill>
          <bgColor rgb="FF92D050"/>
        </patternFill>
      </fill>
    </dxf>
    <dxf>
      <font>
        <color auto="1"/>
      </font>
      <fill>
        <patternFill>
          <bgColor rgb="FFFFFF00"/>
        </patternFill>
      </fill>
    </dxf>
    <dxf>
      <fill>
        <patternFill>
          <bgColor rgb="FFFF0000"/>
        </patternFill>
      </fill>
    </dxf>
    <dxf>
      <fill>
        <patternFill>
          <bgColor rgb="FF92D050"/>
        </patternFill>
      </fill>
    </dxf>
    <dxf>
      <font>
        <color auto="1"/>
      </font>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ont>
        <color auto="1"/>
      </font>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ont>
        <color auto="1"/>
      </font>
      <fill>
        <patternFill>
          <bgColor rgb="FFFFFF00"/>
        </patternFill>
      </fill>
    </dxf>
    <dxf>
      <fill>
        <patternFill>
          <bgColor rgb="FFFF0000"/>
        </patternFill>
      </fill>
    </dxf>
    <dxf>
      <fill>
        <patternFill>
          <bgColor rgb="FF92D050"/>
        </patternFill>
      </fill>
    </dxf>
    <dxf>
      <font>
        <color auto="1"/>
      </font>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ont>
        <color auto="1"/>
      </font>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s>
  <tableStyles count="0" defaultTableStyle="TableStyleMedium2" defaultPivotStyle="PivotStyleLight16"/>
  <colors>
    <mruColors>
      <color rgb="FFFF00FF"/>
      <color rgb="FFCC00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6</xdr:col>
      <xdr:colOff>0</xdr:colOff>
      <xdr:row>11</xdr:row>
      <xdr:rowOff>0</xdr:rowOff>
    </xdr:from>
    <xdr:ext cx="8732070" cy="937629"/>
    <xdr:sp macro="" textlink="">
      <xdr:nvSpPr>
        <xdr:cNvPr id="2" name="Rectangle 1"/>
        <xdr:cNvSpPr/>
      </xdr:nvSpPr>
      <xdr:spPr>
        <a:xfrm>
          <a:off x="6873240" y="2042160"/>
          <a:ext cx="8732070" cy="937629"/>
        </a:xfrm>
        <a:prstGeom prst="rect">
          <a:avLst/>
        </a:prstGeom>
        <a:noFill/>
      </xdr:spPr>
      <xdr:txBody>
        <a:bodyPr wrap="none" lIns="91440" tIns="45720" rIns="91440" bIns="45720">
          <a:spAutoFit/>
        </a:bodyPr>
        <a:lstStyle/>
        <a:p>
          <a:pPr algn="ctr"/>
          <a:r>
            <a:rPr lang="en-US" sz="5400" b="1" cap="none" spc="0">
              <a:ln w="6600">
                <a:solidFill>
                  <a:schemeClr val="accent2"/>
                </a:solidFill>
                <a:prstDash val="solid"/>
              </a:ln>
              <a:solidFill>
                <a:srgbClr val="FFFFFF"/>
              </a:solidFill>
              <a:effectLst>
                <a:outerShdw dist="38100" dir="2700000" algn="tl" rotWithShape="0">
                  <a:schemeClr val="accent2"/>
                </a:outerShdw>
              </a:effectLst>
            </a:rPr>
            <a:t>Hemang Doshi Techassurance</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9</xdr:col>
      <xdr:colOff>0</xdr:colOff>
      <xdr:row>20</xdr:row>
      <xdr:rowOff>0</xdr:rowOff>
    </xdr:from>
    <xdr:ext cx="8732070" cy="937629"/>
    <xdr:sp macro="" textlink="">
      <xdr:nvSpPr>
        <xdr:cNvPr id="2" name="Rectangle 1"/>
        <xdr:cNvSpPr/>
      </xdr:nvSpPr>
      <xdr:spPr>
        <a:xfrm>
          <a:off x="11217349" y="5794744"/>
          <a:ext cx="8732070" cy="937629"/>
        </a:xfrm>
        <a:prstGeom prst="rect">
          <a:avLst/>
        </a:prstGeom>
        <a:noFill/>
      </xdr:spPr>
      <xdr:txBody>
        <a:bodyPr wrap="none" lIns="91440" tIns="45720" rIns="91440" bIns="45720">
          <a:spAutoFit/>
        </a:bodyPr>
        <a:lstStyle/>
        <a:p>
          <a:pPr algn="ctr"/>
          <a:r>
            <a:rPr lang="en-US" sz="5400" b="1" cap="none" spc="0">
              <a:ln w="6600">
                <a:solidFill>
                  <a:schemeClr val="accent2"/>
                </a:solidFill>
                <a:prstDash val="solid"/>
              </a:ln>
              <a:solidFill>
                <a:srgbClr val="FFFFFF"/>
              </a:solidFill>
              <a:effectLst>
                <a:outerShdw dist="38100" dir="2700000" algn="tl" rotWithShape="0">
                  <a:schemeClr val="accent2"/>
                </a:outerShdw>
              </a:effectLst>
            </a:rPr>
            <a:t>Hemang Doshi Techassurance</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2</xdr:col>
      <xdr:colOff>2549842</xdr:colOff>
      <xdr:row>5</xdr:row>
      <xdr:rowOff>852628</xdr:rowOff>
    </xdr:from>
    <xdr:ext cx="8732070" cy="937629"/>
    <xdr:sp macro="" textlink="">
      <xdr:nvSpPr>
        <xdr:cNvPr id="2" name="Rectangle 1"/>
        <xdr:cNvSpPr/>
      </xdr:nvSpPr>
      <xdr:spPr>
        <a:xfrm>
          <a:off x="4941943" y="3254375"/>
          <a:ext cx="8732070" cy="937629"/>
        </a:xfrm>
        <a:prstGeom prst="rect">
          <a:avLst/>
        </a:prstGeom>
        <a:noFill/>
      </xdr:spPr>
      <xdr:txBody>
        <a:bodyPr wrap="none" lIns="91440" tIns="45720" rIns="91440" bIns="45720">
          <a:spAutoFit/>
        </a:bodyPr>
        <a:lstStyle/>
        <a:p>
          <a:pPr algn="ctr"/>
          <a:r>
            <a:rPr lang="en-US" sz="5400" b="1" cap="none" spc="0">
              <a:ln w="6600">
                <a:solidFill>
                  <a:schemeClr val="accent2"/>
                </a:solidFill>
                <a:prstDash val="solid"/>
              </a:ln>
              <a:solidFill>
                <a:srgbClr val="FFFFFF"/>
              </a:solidFill>
              <a:effectLst>
                <a:outerShdw dist="38100" dir="2700000" algn="tl" rotWithShape="0">
                  <a:schemeClr val="accent2"/>
                </a:outerShdw>
              </a:effectLst>
            </a:rPr>
            <a:t>Hemang Doshi Techassurance</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12</xdr:row>
      <xdr:rowOff>0</xdr:rowOff>
    </xdr:from>
    <xdr:ext cx="8732070" cy="937629"/>
    <xdr:sp macro="" textlink="">
      <xdr:nvSpPr>
        <xdr:cNvPr id="2" name="Rectangle 1"/>
        <xdr:cNvSpPr/>
      </xdr:nvSpPr>
      <xdr:spPr>
        <a:xfrm>
          <a:off x="1219200" y="2194560"/>
          <a:ext cx="8732070" cy="937629"/>
        </a:xfrm>
        <a:prstGeom prst="rect">
          <a:avLst/>
        </a:prstGeom>
        <a:noFill/>
      </xdr:spPr>
      <xdr:txBody>
        <a:bodyPr wrap="none" lIns="91440" tIns="45720" rIns="91440" bIns="45720">
          <a:spAutoFit/>
        </a:bodyPr>
        <a:lstStyle/>
        <a:p>
          <a:pPr algn="ctr"/>
          <a:r>
            <a:rPr lang="en-US" sz="5400" b="1" cap="none" spc="0">
              <a:ln w="6600">
                <a:solidFill>
                  <a:schemeClr val="accent2"/>
                </a:solidFill>
                <a:prstDash val="solid"/>
              </a:ln>
              <a:solidFill>
                <a:srgbClr val="FFFFFF"/>
              </a:solidFill>
              <a:effectLst>
                <a:outerShdw dist="38100" dir="2700000" algn="tl" rotWithShape="0">
                  <a:schemeClr val="accent2"/>
                </a:outerShdw>
              </a:effectLst>
            </a:rPr>
            <a:t>Hemang Doshi Techassurance</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16</xdr:row>
      <xdr:rowOff>0</xdr:rowOff>
    </xdr:from>
    <xdr:ext cx="8732070" cy="937629"/>
    <xdr:sp macro="" textlink="">
      <xdr:nvSpPr>
        <xdr:cNvPr id="2" name="Rectangle 1"/>
        <xdr:cNvSpPr/>
      </xdr:nvSpPr>
      <xdr:spPr>
        <a:xfrm>
          <a:off x="609600" y="3657600"/>
          <a:ext cx="8732070" cy="937629"/>
        </a:xfrm>
        <a:prstGeom prst="rect">
          <a:avLst/>
        </a:prstGeom>
        <a:noFill/>
      </xdr:spPr>
      <xdr:txBody>
        <a:bodyPr wrap="none" lIns="91440" tIns="45720" rIns="91440" bIns="45720">
          <a:spAutoFit/>
        </a:bodyPr>
        <a:lstStyle/>
        <a:p>
          <a:pPr algn="ctr"/>
          <a:r>
            <a:rPr lang="en-US" sz="5400" b="1" cap="none" spc="0">
              <a:ln w="6600">
                <a:solidFill>
                  <a:schemeClr val="accent2"/>
                </a:solidFill>
                <a:prstDash val="solid"/>
              </a:ln>
              <a:solidFill>
                <a:srgbClr val="FFFFFF"/>
              </a:solidFill>
              <a:effectLst>
                <a:outerShdw dist="38100" dir="2700000" algn="tl" rotWithShape="0">
                  <a:schemeClr val="accent2"/>
                </a:outerShdw>
              </a:effectLst>
            </a:rPr>
            <a:t>Hemang Doshi Techassurance</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2</xdr:col>
      <xdr:colOff>0</xdr:colOff>
      <xdr:row>14</xdr:row>
      <xdr:rowOff>0</xdr:rowOff>
    </xdr:from>
    <xdr:ext cx="8732070" cy="937629"/>
    <xdr:sp macro="" textlink="">
      <xdr:nvSpPr>
        <xdr:cNvPr id="2" name="Rectangle 1"/>
        <xdr:cNvSpPr/>
      </xdr:nvSpPr>
      <xdr:spPr>
        <a:xfrm>
          <a:off x="3162300" y="3703320"/>
          <a:ext cx="8732070" cy="937629"/>
        </a:xfrm>
        <a:prstGeom prst="rect">
          <a:avLst/>
        </a:prstGeom>
        <a:noFill/>
      </xdr:spPr>
      <xdr:txBody>
        <a:bodyPr wrap="none" lIns="91440" tIns="45720" rIns="91440" bIns="45720">
          <a:spAutoFit/>
        </a:bodyPr>
        <a:lstStyle/>
        <a:p>
          <a:pPr algn="ctr"/>
          <a:r>
            <a:rPr lang="en-US" sz="5400" b="1" cap="none" spc="0">
              <a:ln w="6600">
                <a:solidFill>
                  <a:schemeClr val="accent2"/>
                </a:solidFill>
                <a:prstDash val="solid"/>
              </a:ln>
              <a:solidFill>
                <a:srgbClr val="FFFFFF"/>
              </a:solidFill>
              <a:effectLst>
                <a:outerShdw dist="38100" dir="2700000" algn="tl" rotWithShape="0">
                  <a:schemeClr val="accent2"/>
                </a:outerShdw>
              </a:effectLst>
            </a:rPr>
            <a:t>Hemang Doshi Techassurance</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yraacs.sharepoint.com/FINAL%20standardization/ISO%20suite/ISO%2027001_%20Suite/ISO%20Risk%20Assessment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
      <sheetName val="Parameter"/>
      <sheetName val="Laptop and Mobile Device"/>
      <sheetName val="Human Resources"/>
      <sheetName val="Facility and admin"/>
      <sheetName val="Asset Management"/>
      <sheetName val="Compliance"/>
      <sheetName val="SDLC"/>
      <sheetName val="IT"/>
      <sheetName val="Information Security"/>
      <sheetName val="Email Security"/>
      <sheetName val="Finance"/>
      <sheetName val="Cloud Security"/>
      <sheetName val="Business O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26"/>
  <sheetViews>
    <sheetView workbookViewId="0">
      <selection activeCell="G12" sqref="G12"/>
    </sheetView>
  </sheetViews>
  <sheetFormatPr defaultRowHeight="14.5" x14ac:dyDescent="0.35"/>
  <cols>
    <col min="1" max="1" width="17.54296875" bestFit="1" customWidth="1"/>
    <col min="2" max="2" width="47.08984375" bestFit="1" customWidth="1"/>
  </cols>
  <sheetData>
    <row r="2" spans="1:2" x14ac:dyDescent="0.35">
      <c r="A2" s="66" t="s">
        <v>301</v>
      </c>
      <c r="B2" s="67" t="s">
        <v>59</v>
      </c>
    </row>
    <row r="3" spans="1:2" x14ac:dyDescent="0.35">
      <c r="A3" s="66" t="s">
        <v>0</v>
      </c>
      <c r="B3" s="67" t="s">
        <v>302</v>
      </c>
    </row>
    <row r="4" spans="1:2" x14ac:dyDescent="0.35">
      <c r="A4" s="66" t="s">
        <v>1</v>
      </c>
      <c r="B4" s="67">
        <v>1</v>
      </c>
    </row>
    <row r="5" spans="1:2" x14ac:dyDescent="0.35">
      <c r="A5" s="66" t="s">
        <v>303</v>
      </c>
      <c r="B5" s="68">
        <v>47484</v>
      </c>
    </row>
    <row r="8" spans="1:2" ht="15" thickBot="1" x14ac:dyDescent="0.4"/>
    <row r="9" spans="1:2" ht="15" thickBot="1" x14ac:dyDescent="0.4">
      <c r="A9" s="78" t="s">
        <v>304</v>
      </c>
      <c r="B9" s="79"/>
    </row>
    <row r="10" spans="1:2" ht="15" thickBot="1" x14ac:dyDescent="0.4">
      <c r="A10" s="69" t="s">
        <v>305</v>
      </c>
      <c r="B10" s="70" t="s">
        <v>5</v>
      </c>
    </row>
    <row r="11" spans="1:2" ht="15" thickBot="1" x14ac:dyDescent="0.4">
      <c r="A11" s="66" t="s">
        <v>306</v>
      </c>
      <c r="B11" s="71"/>
    </row>
    <row r="12" spans="1:2" ht="15" thickBot="1" x14ac:dyDescent="0.4">
      <c r="A12" s="66" t="s">
        <v>0</v>
      </c>
      <c r="B12" s="71"/>
    </row>
    <row r="13" spans="1:2" ht="15" thickBot="1" x14ac:dyDescent="0.4">
      <c r="A13" s="66" t="s">
        <v>307</v>
      </c>
      <c r="B13" s="71"/>
    </row>
    <row r="14" spans="1:2" ht="15" thickBot="1" x14ac:dyDescent="0.4">
      <c r="A14" s="66" t="s">
        <v>308</v>
      </c>
      <c r="B14" s="71"/>
    </row>
    <row r="15" spans="1:2" ht="15" thickBot="1" x14ac:dyDescent="0.4">
      <c r="A15" s="66" t="s">
        <v>309</v>
      </c>
      <c r="B15" s="71"/>
    </row>
    <row r="16" spans="1:2" ht="15" thickBot="1" x14ac:dyDescent="0.4">
      <c r="A16" s="66" t="s">
        <v>310</v>
      </c>
      <c r="B16" s="72"/>
    </row>
    <row r="17" spans="1:5" ht="15" thickBot="1" x14ac:dyDescent="0.4">
      <c r="A17" s="66" t="s">
        <v>311</v>
      </c>
      <c r="B17" s="71"/>
    </row>
    <row r="19" spans="1:5" ht="15" thickBot="1" x14ac:dyDescent="0.4"/>
    <row r="20" spans="1:5" ht="15" thickBot="1" x14ac:dyDescent="0.4">
      <c r="A20" s="78" t="s">
        <v>312</v>
      </c>
      <c r="B20" s="80"/>
      <c r="C20" s="79"/>
      <c r="D20" s="81" t="s">
        <v>313</v>
      </c>
      <c r="E20" s="81" t="s">
        <v>314</v>
      </c>
    </row>
    <row r="21" spans="1:5" ht="44" thickBot="1" x14ac:dyDescent="0.4">
      <c r="A21" s="73" t="s">
        <v>1</v>
      </c>
      <c r="B21" s="74" t="s">
        <v>310</v>
      </c>
      <c r="C21" s="74" t="s">
        <v>315</v>
      </c>
      <c r="D21" s="82"/>
      <c r="E21" s="82"/>
    </row>
    <row r="22" spans="1:5" ht="29.5" thickBot="1" x14ac:dyDescent="0.4">
      <c r="A22" s="75">
        <v>1</v>
      </c>
      <c r="B22" s="76">
        <v>47484</v>
      </c>
      <c r="C22" s="71" t="s">
        <v>316</v>
      </c>
      <c r="D22" s="71" t="s">
        <v>317</v>
      </c>
      <c r="E22" s="72">
        <v>47484</v>
      </c>
    </row>
    <row r="23" spans="1:5" ht="15" thickBot="1" x14ac:dyDescent="0.4">
      <c r="A23" s="75"/>
      <c r="B23" s="77"/>
      <c r="C23" s="71"/>
      <c r="D23" s="71"/>
      <c r="E23" s="71"/>
    </row>
    <row r="24" spans="1:5" ht="15" thickBot="1" x14ac:dyDescent="0.4">
      <c r="A24" s="75"/>
      <c r="B24" s="77"/>
      <c r="C24" s="71"/>
      <c r="D24" s="71"/>
      <c r="E24" s="71"/>
    </row>
    <row r="25" spans="1:5" ht="15" thickBot="1" x14ac:dyDescent="0.4">
      <c r="A25" s="75"/>
      <c r="B25" s="77"/>
      <c r="C25" s="71"/>
      <c r="D25" s="71"/>
      <c r="E25" s="71"/>
    </row>
    <row r="26" spans="1:5" ht="15" thickBot="1" x14ac:dyDescent="0.4">
      <c r="A26" s="75"/>
      <c r="B26" s="77"/>
      <c r="C26" s="71"/>
      <c r="D26" s="71"/>
      <c r="E26" s="71"/>
    </row>
  </sheetData>
  <mergeCells count="4">
    <mergeCell ref="A9:B9"/>
    <mergeCell ref="A20:C20"/>
    <mergeCell ref="D20:D21"/>
    <mergeCell ref="E20:E2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61"/>
  <sheetViews>
    <sheetView showGridLines="0" topLeftCell="A13" zoomScale="86" zoomScaleNormal="86" workbookViewId="0">
      <selection activeCell="J21" sqref="J21"/>
    </sheetView>
  </sheetViews>
  <sheetFormatPr defaultColWidth="0" defaultRowHeight="16" zeroHeight="1" x14ac:dyDescent="0.45"/>
  <cols>
    <col min="1" max="1" width="5.1796875" style="5" customWidth="1"/>
    <col min="2" max="2" width="15.81640625" style="5" customWidth="1"/>
    <col min="3" max="3" width="23.453125" style="5" customWidth="1"/>
    <col min="4" max="4" width="35.36328125" style="5" customWidth="1"/>
    <col min="5" max="5" width="17" style="5" customWidth="1"/>
    <col min="6" max="6" width="20.81640625" style="5" customWidth="1"/>
    <col min="7" max="7" width="14.81640625" style="5" customWidth="1"/>
    <col min="8" max="8" width="22.1796875" style="5" customWidth="1"/>
    <col min="9" max="10" width="9.1796875" style="5" customWidth="1"/>
    <col min="11" max="16384" width="9.1796875" style="5" hidden="1"/>
  </cols>
  <sheetData>
    <row r="1" spans="2:4" x14ac:dyDescent="0.45"/>
    <row r="2" spans="2:4" x14ac:dyDescent="0.45">
      <c r="D2" s="12"/>
    </row>
    <row r="3" spans="2:4" x14ac:dyDescent="0.45">
      <c r="B3" s="13"/>
      <c r="D3" s="12"/>
    </row>
    <row r="4" spans="2:4" x14ac:dyDescent="0.45">
      <c r="B4" s="5" t="s">
        <v>2</v>
      </c>
      <c r="D4" s="12"/>
    </row>
    <row r="5" spans="2:4" x14ac:dyDescent="0.45">
      <c r="D5" s="12"/>
    </row>
    <row r="6" spans="2:4" x14ac:dyDescent="0.45">
      <c r="B6" s="37" t="s">
        <v>3</v>
      </c>
      <c r="D6" s="12"/>
    </row>
    <row r="7" spans="2:4" x14ac:dyDescent="0.45">
      <c r="B7" s="5" t="s">
        <v>4</v>
      </c>
      <c r="D7" s="12"/>
    </row>
    <row r="8" spans="2:4" x14ac:dyDescent="0.45">
      <c r="D8" s="12"/>
    </row>
    <row r="9" spans="2:4" x14ac:dyDescent="0.45">
      <c r="B9" s="14" t="s">
        <v>3</v>
      </c>
      <c r="C9" s="15" t="s">
        <v>5</v>
      </c>
      <c r="D9" s="16" t="s">
        <v>6</v>
      </c>
    </row>
    <row r="10" spans="2:4" ht="32" x14ac:dyDescent="0.45">
      <c r="B10" s="1">
        <v>1</v>
      </c>
      <c r="C10" s="1" t="s">
        <v>7</v>
      </c>
      <c r="D10" s="4" t="s">
        <v>8</v>
      </c>
    </row>
    <row r="11" spans="2:4" ht="32" x14ac:dyDescent="0.45">
      <c r="B11" s="1">
        <v>2</v>
      </c>
      <c r="C11" s="1" t="s">
        <v>9</v>
      </c>
      <c r="D11" s="4" t="s">
        <v>10</v>
      </c>
    </row>
    <row r="12" spans="2:4" ht="32" x14ac:dyDescent="0.45">
      <c r="B12" s="1">
        <v>3</v>
      </c>
      <c r="C12" s="1" t="s">
        <v>11</v>
      </c>
      <c r="D12" s="4" t="s">
        <v>12</v>
      </c>
    </row>
    <row r="13" spans="2:4" ht="48" x14ac:dyDescent="0.45">
      <c r="B13" s="1">
        <v>4</v>
      </c>
      <c r="C13" s="1" t="s">
        <v>13</v>
      </c>
      <c r="D13" s="4" t="s">
        <v>14</v>
      </c>
    </row>
    <row r="14" spans="2:4" ht="48" x14ac:dyDescent="0.45">
      <c r="B14" s="1">
        <v>5</v>
      </c>
      <c r="C14" s="1" t="s">
        <v>15</v>
      </c>
      <c r="D14" s="4" t="s">
        <v>16</v>
      </c>
    </row>
    <row r="15" spans="2:4" x14ac:dyDescent="0.45">
      <c r="D15" s="12"/>
    </row>
    <row r="16" spans="2:4" x14ac:dyDescent="0.45">
      <c r="B16" s="37" t="s">
        <v>17</v>
      </c>
      <c r="D16" s="12"/>
    </row>
    <row r="17" spans="1:9" x14ac:dyDescent="0.45">
      <c r="B17" s="5" t="s">
        <v>18</v>
      </c>
      <c r="D17" s="12"/>
    </row>
    <row r="18" spans="1:9" x14ac:dyDescent="0.45">
      <c r="D18" s="12"/>
    </row>
    <row r="19" spans="1:9" x14ac:dyDescent="0.45">
      <c r="B19" s="83" t="s">
        <v>19</v>
      </c>
      <c r="C19" s="84"/>
      <c r="D19" s="85" t="s">
        <v>20</v>
      </c>
      <c r="E19" s="86"/>
      <c r="F19" s="86"/>
      <c r="G19" s="86"/>
      <c r="H19" s="86"/>
    </row>
    <row r="20" spans="1:9" ht="48" x14ac:dyDescent="0.45">
      <c r="A20" s="6"/>
      <c r="B20" s="17" t="s">
        <v>21</v>
      </c>
      <c r="C20" s="17" t="s">
        <v>22</v>
      </c>
      <c r="D20" s="17" t="s">
        <v>23</v>
      </c>
      <c r="E20" s="17" t="s">
        <v>24</v>
      </c>
      <c r="F20" s="17" t="s">
        <v>25</v>
      </c>
      <c r="G20" s="17" t="s">
        <v>26</v>
      </c>
      <c r="H20" s="17" t="s">
        <v>27</v>
      </c>
      <c r="I20" s="6"/>
    </row>
    <row r="21" spans="1:9" x14ac:dyDescent="0.45">
      <c r="B21" s="3">
        <v>1</v>
      </c>
      <c r="C21" s="3" t="s">
        <v>28</v>
      </c>
      <c r="D21" s="4" t="s">
        <v>29</v>
      </c>
      <c r="E21" s="3" t="s">
        <v>30</v>
      </c>
      <c r="F21" s="3" t="s">
        <v>31</v>
      </c>
      <c r="G21" s="3" t="s">
        <v>28</v>
      </c>
      <c r="H21" s="3" t="s">
        <v>32</v>
      </c>
    </row>
    <row r="22" spans="1:9" ht="32" x14ac:dyDescent="0.45">
      <c r="B22" s="3">
        <v>2</v>
      </c>
      <c r="C22" s="3" t="s">
        <v>33</v>
      </c>
      <c r="D22" s="4" t="s">
        <v>34</v>
      </c>
      <c r="E22" s="3" t="s">
        <v>35</v>
      </c>
      <c r="F22" s="3" t="s">
        <v>36</v>
      </c>
      <c r="G22" s="3" t="s">
        <v>33</v>
      </c>
      <c r="H22" s="3" t="s">
        <v>37</v>
      </c>
    </row>
    <row r="23" spans="1:9" ht="32" x14ac:dyDescent="0.45">
      <c r="B23" s="3">
        <v>3</v>
      </c>
      <c r="C23" s="3" t="s">
        <v>38</v>
      </c>
      <c r="D23" s="4" t="s">
        <v>39</v>
      </c>
      <c r="E23" s="3" t="s">
        <v>40</v>
      </c>
      <c r="F23" s="3" t="s">
        <v>41</v>
      </c>
      <c r="G23" s="3" t="s">
        <v>38</v>
      </c>
      <c r="H23" s="3" t="s">
        <v>42</v>
      </c>
    </row>
    <row r="24" spans="1:9" ht="48" x14ac:dyDescent="0.45">
      <c r="B24" s="3">
        <v>4</v>
      </c>
      <c r="C24" s="3" t="s">
        <v>43</v>
      </c>
      <c r="D24" s="4" t="s">
        <v>44</v>
      </c>
      <c r="E24" s="3" t="s">
        <v>45</v>
      </c>
      <c r="F24" s="3" t="s">
        <v>46</v>
      </c>
      <c r="G24" s="3" t="s">
        <v>43</v>
      </c>
      <c r="H24" s="3" t="s">
        <v>47</v>
      </c>
    </row>
    <row r="25" spans="1:9" ht="48" x14ac:dyDescent="0.45">
      <c r="B25" s="3">
        <v>5</v>
      </c>
      <c r="C25" s="3" t="s">
        <v>48</v>
      </c>
      <c r="D25" s="4" t="s">
        <v>49</v>
      </c>
      <c r="E25" s="3" t="s">
        <v>50</v>
      </c>
      <c r="F25" s="3" t="s">
        <v>51</v>
      </c>
      <c r="G25" s="3" t="s">
        <v>48</v>
      </c>
      <c r="H25" s="3" t="s">
        <v>52</v>
      </c>
    </row>
    <row r="26" spans="1:9" x14ac:dyDescent="0.45">
      <c r="D26" s="12"/>
    </row>
    <row r="27" spans="1:9" x14ac:dyDescent="0.45">
      <c r="B27" s="37" t="s">
        <v>131</v>
      </c>
      <c r="C27" s="54"/>
    </row>
    <row r="28" spans="1:9" x14ac:dyDescent="0.45">
      <c r="B28" s="5" t="s">
        <v>53</v>
      </c>
    </row>
    <row r="29" spans="1:9" x14ac:dyDescent="0.45"/>
    <row r="30" spans="1:9" x14ac:dyDescent="0.45"/>
    <row r="31" spans="1:9" x14ac:dyDescent="0.45">
      <c r="B31" s="87" t="s">
        <v>17</v>
      </c>
      <c r="C31" s="55" t="s">
        <v>87</v>
      </c>
      <c r="D31" s="56">
        <v>5</v>
      </c>
      <c r="E31" s="57">
        <v>10</v>
      </c>
      <c r="F31" s="57">
        <v>15</v>
      </c>
      <c r="G31" s="58">
        <v>20</v>
      </c>
      <c r="H31" s="58">
        <v>25</v>
      </c>
      <c r="I31"/>
    </row>
    <row r="32" spans="1:9" x14ac:dyDescent="0.45">
      <c r="B32" s="88"/>
      <c r="C32" s="55" t="s">
        <v>88</v>
      </c>
      <c r="D32" s="56">
        <v>4</v>
      </c>
      <c r="E32" s="56">
        <v>8</v>
      </c>
      <c r="F32" s="57">
        <v>12</v>
      </c>
      <c r="G32" s="57">
        <v>16</v>
      </c>
      <c r="H32" s="58">
        <v>20</v>
      </c>
      <c r="I32"/>
    </row>
    <row r="33" spans="2:9" x14ac:dyDescent="0.45">
      <c r="B33" s="88"/>
      <c r="C33" s="55" t="s">
        <v>89</v>
      </c>
      <c r="D33" s="56">
        <v>3</v>
      </c>
      <c r="E33" s="56">
        <v>6</v>
      </c>
      <c r="F33" s="56">
        <v>9</v>
      </c>
      <c r="G33" s="57">
        <v>12</v>
      </c>
      <c r="H33" s="57">
        <v>15</v>
      </c>
      <c r="I33"/>
    </row>
    <row r="34" spans="2:9" x14ac:dyDescent="0.45">
      <c r="B34" s="88"/>
      <c r="C34" s="55" t="s">
        <v>90</v>
      </c>
      <c r="D34" s="56">
        <v>2</v>
      </c>
      <c r="E34" s="56">
        <v>4</v>
      </c>
      <c r="F34" s="56">
        <v>6</v>
      </c>
      <c r="G34" s="56">
        <v>8</v>
      </c>
      <c r="H34" s="57">
        <v>10</v>
      </c>
      <c r="I34"/>
    </row>
    <row r="35" spans="2:9" x14ac:dyDescent="0.45">
      <c r="B35" s="88"/>
      <c r="C35" s="55" t="s">
        <v>91</v>
      </c>
      <c r="D35" s="56">
        <v>1</v>
      </c>
      <c r="E35" s="56">
        <v>2</v>
      </c>
      <c r="F35" s="56">
        <v>3</v>
      </c>
      <c r="G35" s="56">
        <v>4</v>
      </c>
      <c r="H35" s="56">
        <v>5</v>
      </c>
      <c r="I35"/>
    </row>
    <row r="36" spans="2:9" x14ac:dyDescent="0.45">
      <c r="B36"/>
      <c r="C36"/>
      <c r="D36" s="55" t="s">
        <v>92</v>
      </c>
      <c r="E36" s="55" t="s">
        <v>93</v>
      </c>
      <c r="F36" s="55" t="s">
        <v>94</v>
      </c>
      <c r="G36" s="55" t="s">
        <v>95</v>
      </c>
      <c r="H36" s="55" t="s">
        <v>96</v>
      </c>
      <c r="I36"/>
    </row>
    <row r="37" spans="2:9" x14ac:dyDescent="0.45">
      <c r="B37"/>
      <c r="C37"/>
      <c r="D37" s="89" t="s">
        <v>3</v>
      </c>
      <c r="E37" s="89"/>
      <c r="F37" s="89"/>
      <c r="G37" s="89"/>
      <c r="H37" s="89"/>
      <c r="I37"/>
    </row>
    <row r="38" spans="2:9" x14ac:dyDescent="0.45">
      <c r="B38"/>
      <c r="C38"/>
      <c r="D38"/>
      <c r="E38"/>
      <c r="F38"/>
      <c r="G38"/>
      <c r="H38"/>
      <c r="I38"/>
    </row>
    <row r="39" spans="2:9" x14ac:dyDescent="0.45"/>
    <row r="40" spans="2:9" x14ac:dyDescent="0.45"/>
    <row r="41" spans="2:9" x14ac:dyDescent="0.45">
      <c r="B41" s="5" t="s">
        <v>80</v>
      </c>
    </row>
    <row r="42" spans="2:9" x14ac:dyDescent="0.45"/>
    <row r="43" spans="2:9" x14ac:dyDescent="0.45">
      <c r="B43" s="33" t="s">
        <v>75</v>
      </c>
      <c r="C43" s="33" t="s">
        <v>81</v>
      </c>
      <c r="D43" s="34" t="s">
        <v>97</v>
      </c>
    </row>
    <row r="44" spans="2:9" x14ac:dyDescent="0.45">
      <c r="B44" s="28" t="s">
        <v>84</v>
      </c>
      <c r="C44" s="28" t="s">
        <v>82</v>
      </c>
      <c r="D44" s="30" t="s">
        <v>98</v>
      </c>
    </row>
    <row r="45" spans="2:9" x14ac:dyDescent="0.45">
      <c r="B45" s="29" t="s">
        <v>85</v>
      </c>
      <c r="C45" s="28" t="s">
        <v>83</v>
      </c>
      <c r="D45" s="31" t="s">
        <v>99</v>
      </c>
    </row>
    <row r="46" spans="2:9" x14ac:dyDescent="0.45">
      <c r="B46" s="29" t="s">
        <v>86</v>
      </c>
      <c r="C46" s="28" t="s">
        <v>43</v>
      </c>
      <c r="D46" s="32" t="s">
        <v>100</v>
      </c>
    </row>
    <row r="47" spans="2:9" x14ac:dyDescent="0.45">
      <c r="D47" s="12"/>
    </row>
    <row r="48" spans="2:9" hidden="1" x14ac:dyDescent="0.45">
      <c r="D48" s="12"/>
    </row>
    <row r="49" spans="4:4" hidden="1" x14ac:dyDescent="0.45">
      <c r="D49" s="12"/>
    </row>
    <row r="50" spans="4:4" hidden="1" x14ac:dyDescent="0.45">
      <c r="D50" s="12"/>
    </row>
    <row r="51" spans="4:4" x14ac:dyDescent="0.45"/>
    <row r="52" spans="4:4" x14ac:dyDescent="0.45"/>
    <row r="53" spans="4:4" x14ac:dyDescent="0.45"/>
    <row r="54" spans="4:4" x14ac:dyDescent="0.45"/>
    <row r="55" spans="4:4" x14ac:dyDescent="0.45"/>
    <row r="56" spans="4:4" x14ac:dyDescent="0.45"/>
    <row r="57" spans="4:4" x14ac:dyDescent="0.45"/>
    <row r="58" spans="4:4" x14ac:dyDescent="0.45"/>
    <row r="59" spans="4:4" x14ac:dyDescent="0.45"/>
    <row r="60" spans="4:4" x14ac:dyDescent="0.45"/>
    <row r="61" spans="4:4" x14ac:dyDescent="0.45"/>
  </sheetData>
  <mergeCells count="4">
    <mergeCell ref="B19:C19"/>
    <mergeCell ref="D19:H19"/>
    <mergeCell ref="B31:B35"/>
    <mergeCell ref="D37:H37"/>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2:Z43"/>
  <sheetViews>
    <sheetView showGridLines="0" tabSelected="1" zoomScale="79" zoomScaleNormal="79" workbookViewId="0">
      <pane ySplit="4" topLeftCell="A5" activePane="bottomLeft" state="frozen"/>
      <selection activeCell="C8" sqref="C8"/>
      <selection pane="bottomLeft" activeCell="D27" sqref="D27"/>
    </sheetView>
  </sheetViews>
  <sheetFormatPr defaultColWidth="12.453125" defaultRowHeight="16.5" x14ac:dyDescent="0.45"/>
  <cols>
    <col min="1" max="1" width="12.453125" style="41"/>
    <col min="2" max="2" width="22.54296875" style="41" customWidth="1"/>
    <col min="3" max="3" width="76" style="42" customWidth="1"/>
    <col min="4" max="5" width="27.54296875" style="5" customWidth="1"/>
    <col min="6" max="8" width="12.453125" style="5" customWidth="1"/>
    <col min="9" max="9" width="11" style="5" customWidth="1"/>
    <col min="10" max="11" width="76.81640625" style="42" customWidth="1"/>
    <col min="12" max="12" width="32.36328125" style="44" bestFit="1" customWidth="1"/>
    <col min="13" max="13" width="13.81640625" style="45" bestFit="1" customWidth="1"/>
    <col min="14" max="14" width="17.08984375" style="46" bestFit="1" customWidth="1"/>
    <col min="15" max="15" width="15.90625" style="41" bestFit="1" customWidth="1"/>
    <col min="16" max="16" width="19.08984375" style="46" bestFit="1" customWidth="1"/>
    <col min="17" max="17" width="19.1796875" style="46" bestFit="1" customWidth="1"/>
    <col min="18" max="18" width="33.81640625" style="46" bestFit="1" customWidth="1"/>
    <col min="19" max="22" width="23.54296875" style="47" customWidth="1"/>
    <col min="23" max="23" width="23.08984375" style="47" customWidth="1"/>
    <col min="24" max="16384" width="12.453125" style="46"/>
  </cols>
  <sheetData>
    <row r="2" spans="1:26" x14ac:dyDescent="0.45">
      <c r="A2" s="43"/>
      <c r="B2" s="43"/>
    </row>
    <row r="4" spans="1:26" s="48" customFormat="1" ht="54.65" customHeight="1" x14ac:dyDescent="0.35">
      <c r="A4" s="40" t="s">
        <v>54</v>
      </c>
      <c r="B4" s="40" t="s">
        <v>109</v>
      </c>
      <c r="C4" s="61" t="s">
        <v>105</v>
      </c>
      <c r="D4" s="62" t="s">
        <v>106</v>
      </c>
      <c r="E4" s="62" t="s">
        <v>110</v>
      </c>
      <c r="F4" s="62" t="s">
        <v>3</v>
      </c>
      <c r="G4" s="62" t="s">
        <v>17</v>
      </c>
      <c r="H4" s="62" t="s">
        <v>55</v>
      </c>
      <c r="I4" s="62" t="s">
        <v>108</v>
      </c>
      <c r="J4" s="61" t="s">
        <v>135</v>
      </c>
      <c r="K4" s="61" t="s">
        <v>144</v>
      </c>
      <c r="L4" s="40" t="s">
        <v>67</v>
      </c>
      <c r="M4" s="40" t="s">
        <v>68</v>
      </c>
      <c r="N4" s="40" t="s">
        <v>56</v>
      </c>
      <c r="O4" s="40" t="s">
        <v>76</v>
      </c>
      <c r="P4" s="40" t="s">
        <v>57</v>
      </c>
      <c r="Q4" s="40" t="s">
        <v>104</v>
      </c>
      <c r="R4" s="40" t="s">
        <v>111</v>
      </c>
      <c r="S4" s="40" t="s">
        <v>142</v>
      </c>
      <c r="T4" s="40" t="s">
        <v>298</v>
      </c>
      <c r="U4" s="40" t="s">
        <v>143</v>
      </c>
      <c r="V4" s="40" t="s">
        <v>132</v>
      </c>
      <c r="W4" s="40" t="s">
        <v>107</v>
      </c>
    </row>
    <row r="5" spans="1:26" s="20" customFormat="1" ht="87" x14ac:dyDescent="0.35">
      <c r="A5" s="27" t="s">
        <v>145</v>
      </c>
      <c r="B5" s="2" t="s">
        <v>146</v>
      </c>
      <c r="C5" s="63" t="s">
        <v>147</v>
      </c>
      <c r="D5" s="9"/>
      <c r="E5" s="9"/>
      <c r="F5" s="8">
        <v>1</v>
      </c>
      <c r="G5" s="8">
        <v>5</v>
      </c>
      <c r="H5" s="8">
        <f>F5*G5</f>
        <v>5</v>
      </c>
      <c r="I5" s="26" t="str">
        <f>IF(H5&lt;=9, "Low", IF(H5&lt;=18, "Medium", "High"))</f>
        <v>Low</v>
      </c>
      <c r="J5" s="63" t="s">
        <v>185</v>
      </c>
      <c r="K5" s="10" t="s">
        <v>260</v>
      </c>
      <c r="L5" s="9" t="s">
        <v>60</v>
      </c>
      <c r="M5" s="2">
        <f t="shared" ref="M5:M12" si="0">IF(L5="Controls are fully effective and there is no residual risk", $H$5,
    IF(L5="Controls are majorly effective", H5*0.75,
    IF(L5="Controls are moderately effective", $H$5*0.5,
    IF(L5="Controls are somewhat effective", $H$5*0.25,
    IF(L5="Controls are not effective at all", 0, "")))))</f>
        <v>0</v>
      </c>
      <c r="N5" s="24">
        <f t="shared" ref="N5:N12" si="1">H5-M5</f>
        <v>5</v>
      </c>
      <c r="O5" s="26" t="str">
        <f>IF(N5&lt;=9, "Low", IF(N5&lt;=18, "Medium", "High"))</f>
        <v>Low</v>
      </c>
      <c r="P5" s="2" t="s">
        <v>133</v>
      </c>
      <c r="Q5" s="2" t="s">
        <v>134</v>
      </c>
      <c r="R5" s="2"/>
      <c r="S5" s="2"/>
      <c r="T5" s="2"/>
      <c r="U5" s="2"/>
      <c r="V5" s="2"/>
      <c r="W5" s="2"/>
    </row>
    <row r="6" spans="1:26" s="20" customFormat="1" ht="87" x14ac:dyDescent="0.35">
      <c r="A6" s="27" t="s">
        <v>223</v>
      </c>
      <c r="B6" s="2" t="s">
        <v>146</v>
      </c>
      <c r="C6" s="63" t="s">
        <v>148</v>
      </c>
      <c r="D6" s="9"/>
      <c r="E6" s="9"/>
      <c r="F6" s="8">
        <v>4</v>
      </c>
      <c r="G6" s="8">
        <v>5</v>
      </c>
      <c r="H6" s="8">
        <f>(F6*G6)</f>
        <v>20</v>
      </c>
      <c r="I6" s="26" t="str">
        <f t="shared" ref="I6:I12" si="2">IF(H6&lt;=9, "Low", IF(H6&lt;=18, "Medium", "High"))</f>
        <v>High</v>
      </c>
      <c r="J6" s="63" t="s">
        <v>186</v>
      </c>
      <c r="K6" s="10" t="s">
        <v>261</v>
      </c>
      <c r="L6" s="9" t="s">
        <v>64</v>
      </c>
      <c r="M6" s="2">
        <f t="shared" si="0"/>
        <v>15</v>
      </c>
      <c r="N6" s="24">
        <f t="shared" si="1"/>
        <v>5</v>
      </c>
      <c r="O6" s="26" t="str">
        <f t="shared" ref="O6:O12" si="3">IF(N6&lt;=9, "Low", IF(N6&lt;=18, "Medium", "High"))</f>
        <v>Low</v>
      </c>
      <c r="P6" s="2" t="s">
        <v>58</v>
      </c>
      <c r="Q6" s="2"/>
      <c r="R6" s="2"/>
      <c r="S6" s="2"/>
      <c r="T6" s="2"/>
      <c r="U6" s="2"/>
      <c r="V6" s="2"/>
      <c r="W6" s="2"/>
    </row>
    <row r="7" spans="1:26" s="20" customFormat="1" ht="87" x14ac:dyDescent="0.35">
      <c r="A7" s="27" t="s">
        <v>224</v>
      </c>
      <c r="B7" s="2" t="s">
        <v>146</v>
      </c>
      <c r="C7" s="25" t="s">
        <v>149</v>
      </c>
      <c r="D7" s="9"/>
      <c r="E7" s="9"/>
      <c r="F7" s="8">
        <v>4</v>
      </c>
      <c r="G7" s="8">
        <v>5</v>
      </c>
      <c r="H7" s="8">
        <f>(F7*G7)</f>
        <v>20</v>
      </c>
      <c r="I7" s="26" t="str">
        <f t="shared" si="2"/>
        <v>High</v>
      </c>
      <c r="J7" s="63" t="s">
        <v>187</v>
      </c>
      <c r="K7" s="10" t="s">
        <v>262</v>
      </c>
      <c r="L7" s="9" t="s">
        <v>64</v>
      </c>
      <c r="M7" s="2">
        <f t="shared" si="0"/>
        <v>15</v>
      </c>
      <c r="N7" s="24">
        <f t="shared" si="1"/>
        <v>5</v>
      </c>
      <c r="O7" s="26" t="str">
        <f t="shared" si="3"/>
        <v>Low</v>
      </c>
      <c r="P7" s="2" t="s">
        <v>58</v>
      </c>
      <c r="Q7" s="2"/>
      <c r="R7" s="2"/>
      <c r="S7" s="9"/>
      <c r="T7" s="9"/>
      <c r="U7" s="9"/>
      <c r="V7" s="2"/>
      <c r="W7" s="2"/>
    </row>
    <row r="8" spans="1:26" s="20" customFormat="1" ht="72.5" x14ac:dyDescent="0.35">
      <c r="A8" s="27" t="s">
        <v>225</v>
      </c>
      <c r="B8" s="2" t="s">
        <v>146</v>
      </c>
      <c r="C8" s="25" t="s">
        <v>150</v>
      </c>
      <c r="D8" s="7"/>
      <c r="E8" s="7"/>
      <c r="F8" s="8">
        <v>4</v>
      </c>
      <c r="G8" s="8">
        <v>5</v>
      </c>
      <c r="H8" s="8">
        <f>F8*G8</f>
        <v>20</v>
      </c>
      <c r="I8" s="26" t="str">
        <f t="shared" si="2"/>
        <v>High</v>
      </c>
      <c r="J8" s="63" t="s">
        <v>188</v>
      </c>
      <c r="K8" s="11" t="s">
        <v>263</v>
      </c>
      <c r="L8" s="9" t="s">
        <v>64</v>
      </c>
      <c r="M8" s="2">
        <f t="shared" si="0"/>
        <v>15</v>
      </c>
      <c r="N8" s="24">
        <f t="shared" si="1"/>
        <v>5</v>
      </c>
      <c r="O8" s="26" t="str">
        <f t="shared" si="3"/>
        <v>Low</v>
      </c>
      <c r="P8" s="2" t="s">
        <v>58</v>
      </c>
      <c r="Q8" s="2"/>
      <c r="R8" s="2"/>
      <c r="S8" s="7"/>
      <c r="T8" s="7"/>
      <c r="U8" s="7"/>
      <c r="V8" s="2"/>
      <c r="W8" s="2"/>
    </row>
    <row r="9" spans="1:26" s="21" customFormat="1" ht="88" x14ac:dyDescent="0.45">
      <c r="A9" s="27" t="s">
        <v>226</v>
      </c>
      <c r="B9" s="2" t="s">
        <v>146</v>
      </c>
      <c r="C9" s="25" t="s">
        <v>151</v>
      </c>
      <c r="D9" s="19"/>
      <c r="E9" s="19"/>
      <c r="F9" s="8">
        <v>4</v>
      </c>
      <c r="G9" s="8">
        <v>5</v>
      </c>
      <c r="H9" s="8">
        <f>F9*G9</f>
        <v>20</v>
      </c>
      <c r="I9" s="26" t="str">
        <f t="shared" si="2"/>
        <v>High</v>
      </c>
      <c r="J9" s="63" t="s">
        <v>189</v>
      </c>
      <c r="K9" s="11" t="s">
        <v>264</v>
      </c>
      <c r="L9" s="9" t="s">
        <v>64</v>
      </c>
      <c r="M9" s="2">
        <f t="shared" si="0"/>
        <v>15</v>
      </c>
      <c r="N9" s="24">
        <f t="shared" si="1"/>
        <v>5</v>
      </c>
      <c r="O9" s="26" t="str">
        <f t="shared" si="3"/>
        <v>Low</v>
      </c>
      <c r="P9" s="2" t="s">
        <v>58</v>
      </c>
      <c r="Q9" s="2"/>
      <c r="R9" s="2"/>
      <c r="S9" s="7"/>
      <c r="T9" s="7"/>
      <c r="U9" s="7"/>
      <c r="V9" s="2"/>
      <c r="W9" s="2"/>
    </row>
    <row r="10" spans="1:26" s="21" customFormat="1" ht="88" x14ac:dyDescent="0.45">
      <c r="A10" s="27" t="s">
        <v>227</v>
      </c>
      <c r="B10" s="2" t="s">
        <v>146</v>
      </c>
      <c r="C10" s="25" t="s">
        <v>152</v>
      </c>
      <c r="D10" s="19"/>
      <c r="E10" s="19"/>
      <c r="F10" s="8">
        <v>4</v>
      </c>
      <c r="G10" s="8">
        <v>5</v>
      </c>
      <c r="H10" s="8">
        <f t="shared" ref="H10:H12" si="4">F10*G10</f>
        <v>20</v>
      </c>
      <c r="I10" s="26" t="str">
        <f t="shared" si="2"/>
        <v>High</v>
      </c>
      <c r="J10" s="63" t="s">
        <v>190</v>
      </c>
      <c r="K10" s="10" t="s">
        <v>265</v>
      </c>
      <c r="L10" s="9" t="s">
        <v>64</v>
      </c>
      <c r="M10" s="2">
        <f t="shared" si="0"/>
        <v>15</v>
      </c>
      <c r="N10" s="24">
        <f t="shared" si="1"/>
        <v>5</v>
      </c>
      <c r="O10" s="26" t="str">
        <f t="shared" si="3"/>
        <v>Low</v>
      </c>
      <c r="P10" s="8" t="s">
        <v>58</v>
      </c>
      <c r="Q10" s="8"/>
      <c r="R10" s="8"/>
      <c r="S10" s="7"/>
      <c r="T10" s="7"/>
      <c r="U10" s="7"/>
      <c r="V10" s="2"/>
      <c r="W10" s="2"/>
    </row>
    <row r="11" spans="1:26" s="23" customFormat="1" ht="87" x14ac:dyDescent="0.45">
      <c r="A11" s="27" t="s">
        <v>228</v>
      </c>
      <c r="B11" s="2" t="s">
        <v>146</v>
      </c>
      <c r="C11" s="63" t="s">
        <v>153</v>
      </c>
      <c r="D11" s="18"/>
      <c r="E11" s="18"/>
      <c r="F11" s="8">
        <v>4</v>
      </c>
      <c r="G11" s="8">
        <v>4</v>
      </c>
      <c r="H11" s="22">
        <f>F11*G11</f>
        <v>16</v>
      </c>
      <c r="I11" s="26" t="str">
        <f t="shared" si="2"/>
        <v>Medium</v>
      </c>
      <c r="J11" s="63" t="s">
        <v>191</v>
      </c>
      <c r="K11" s="10" t="s">
        <v>266</v>
      </c>
      <c r="L11" s="9" t="s">
        <v>64</v>
      </c>
      <c r="M11" s="2">
        <f t="shared" si="0"/>
        <v>12</v>
      </c>
      <c r="N11" s="24">
        <f t="shared" si="1"/>
        <v>4</v>
      </c>
      <c r="O11" s="26" t="str">
        <f t="shared" si="3"/>
        <v>Low</v>
      </c>
      <c r="P11" s="8" t="s">
        <v>58</v>
      </c>
      <c r="Q11" s="8"/>
      <c r="R11" s="8"/>
      <c r="S11" s="7"/>
      <c r="T11" s="7"/>
      <c r="U11" s="7"/>
      <c r="V11" s="7"/>
      <c r="W11" s="2"/>
      <c r="X11" s="21"/>
      <c r="Y11" s="21"/>
      <c r="Z11" s="21"/>
    </row>
    <row r="12" spans="1:26" s="21" customFormat="1" ht="88" x14ac:dyDescent="0.45">
      <c r="A12" s="27" t="s">
        <v>229</v>
      </c>
      <c r="B12" s="2" t="s">
        <v>146</v>
      </c>
      <c r="C12" s="25" t="s">
        <v>154</v>
      </c>
      <c r="D12" s="19"/>
      <c r="E12" s="19"/>
      <c r="F12" s="8">
        <v>1</v>
      </c>
      <c r="G12" s="8">
        <v>5</v>
      </c>
      <c r="H12" s="8">
        <f t="shared" si="4"/>
        <v>5</v>
      </c>
      <c r="I12" s="26" t="str">
        <f t="shared" si="2"/>
        <v>Low</v>
      </c>
      <c r="J12" s="63" t="s">
        <v>192</v>
      </c>
      <c r="K12" s="10" t="s">
        <v>267</v>
      </c>
      <c r="L12" s="9" t="s">
        <v>64</v>
      </c>
      <c r="M12" s="2">
        <f t="shared" si="0"/>
        <v>3.75</v>
      </c>
      <c r="N12" s="24">
        <f t="shared" si="1"/>
        <v>1.25</v>
      </c>
      <c r="O12" s="26" t="str">
        <f t="shared" si="3"/>
        <v>Low</v>
      </c>
      <c r="P12" s="8" t="s">
        <v>133</v>
      </c>
      <c r="Q12" s="2" t="s">
        <v>134</v>
      </c>
      <c r="R12" s="8"/>
      <c r="S12" s="9"/>
      <c r="T12" s="9"/>
      <c r="U12" s="9"/>
      <c r="V12" s="9"/>
      <c r="W12" s="7"/>
    </row>
    <row r="13" spans="1:26" ht="88" x14ac:dyDescent="0.45">
      <c r="A13" s="27" t="s">
        <v>230</v>
      </c>
      <c r="B13" s="2" t="s">
        <v>146</v>
      </c>
      <c r="C13" s="25" t="s">
        <v>155</v>
      </c>
      <c r="D13" s="60"/>
      <c r="E13" s="60"/>
      <c r="F13" s="60">
        <v>1</v>
      </c>
      <c r="G13" s="60">
        <v>1</v>
      </c>
      <c r="H13" s="8">
        <f t="shared" ref="H13" si="5">F13*G13</f>
        <v>1</v>
      </c>
      <c r="I13" s="26" t="str">
        <f t="shared" ref="I13" si="6">IF(H13&lt;=9, "Low", IF(H13&lt;=18, "Medium", "High"))</f>
        <v>Low</v>
      </c>
      <c r="J13" s="63" t="s">
        <v>193</v>
      </c>
      <c r="K13" s="10" t="s">
        <v>268</v>
      </c>
      <c r="L13" s="9" t="s">
        <v>64</v>
      </c>
      <c r="M13" s="2">
        <f t="shared" ref="M13:M42" si="7">IF(L13="Controls are fully effective and there is no residual risk", $H$5,
    IF(L13="Controls are majorly effective", H13*0.75,
    IF(L13="Controls are moderately effective", $H$5*0.5,
    IF(L13="Controls are somewhat effective", $H$5*0.25,
    IF(L13="Controls are not effective at all", 0, "")))))</f>
        <v>0.75</v>
      </c>
      <c r="N13" s="24">
        <f t="shared" ref="N13:N42" si="8">H13-M13</f>
        <v>0.25</v>
      </c>
      <c r="O13" s="26" t="str">
        <f t="shared" ref="O13:O42" si="9">IF(N13&lt;=9, "Low", IF(N13&lt;=18, "Medium", "High"))</f>
        <v>Low</v>
      </c>
      <c r="P13" s="8" t="s">
        <v>133</v>
      </c>
      <c r="Q13" s="2" t="s">
        <v>134</v>
      </c>
      <c r="R13" s="50"/>
      <c r="S13" s="51"/>
      <c r="T13" s="51"/>
      <c r="U13" s="51"/>
      <c r="V13" s="51"/>
      <c r="W13" s="51"/>
    </row>
    <row r="14" spans="1:26" ht="87" x14ac:dyDescent="0.45">
      <c r="A14" s="27" t="s">
        <v>231</v>
      </c>
      <c r="B14" s="2" t="s">
        <v>146</v>
      </c>
      <c r="C14" s="63" t="s">
        <v>156</v>
      </c>
      <c r="D14" s="60"/>
      <c r="E14" s="60"/>
      <c r="F14" s="60">
        <v>1</v>
      </c>
      <c r="G14" s="60">
        <v>1</v>
      </c>
      <c r="H14" s="8">
        <f t="shared" ref="H14:H42" si="10">F14*G14</f>
        <v>1</v>
      </c>
      <c r="I14" s="26" t="str">
        <f t="shared" ref="I14:I42" si="11">IF(H14&lt;=9, "Low", IF(H14&lt;=18, "Medium", "High"))</f>
        <v>Low</v>
      </c>
      <c r="J14" s="63" t="s">
        <v>194</v>
      </c>
      <c r="K14" s="10" t="s">
        <v>269</v>
      </c>
      <c r="L14" s="9" t="s">
        <v>64</v>
      </c>
      <c r="M14" s="2">
        <f t="shared" si="7"/>
        <v>0.75</v>
      </c>
      <c r="N14" s="24">
        <f t="shared" si="8"/>
        <v>0.25</v>
      </c>
      <c r="O14" s="26" t="str">
        <f t="shared" si="9"/>
        <v>Low</v>
      </c>
      <c r="P14" s="8" t="s">
        <v>133</v>
      </c>
      <c r="Q14" s="2" t="s">
        <v>134</v>
      </c>
      <c r="R14" s="50"/>
      <c r="S14" s="51"/>
      <c r="T14" s="51"/>
      <c r="U14" s="51"/>
      <c r="V14" s="51"/>
      <c r="W14" s="51"/>
    </row>
    <row r="15" spans="1:26" ht="88" x14ac:dyDescent="0.45">
      <c r="A15" s="27" t="s">
        <v>232</v>
      </c>
      <c r="B15" s="2" t="s">
        <v>146</v>
      </c>
      <c r="C15" s="25" t="s">
        <v>157</v>
      </c>
      <c r="D15" s="60"/>
      <c r="E15" s="60"/>
      <c r="F15" s="60">
        <v>1</v>
      </c>
      <c r="G15" s="60">
        <v>1</v>
      </c>
      <c r="H15" s="8">
        <f t="shared" si="10"/>
        <v>1</v>
      </c>
      <c r="I15" s="26" t="str">
        <f t="shared" si="11"/>
        <v>Low</v>
      </c>
      <c r="J15" s="63" t="s">
        <v>195</v>
      </c>
      <c r="K15" s="49" t="s">
        <v>270</v>
      </c>
      <c r="L15" s="9" t="s">
        <v>64</v>
      </c>
      <c r="M15" s="2">
        <f t="shared" si="7"/>
        <v>0.75</v>
      </c>
      <c r="N15" s="24">
        <f t="shared" si="8"/>
        <v>0.25</v>
      </c>
      <c r="O15" s="26" t="str">
        <f t="shared" si="9"/>
        <v>Low</v>
      </c>
      <c r="P15" s="8" t="s">
        <v>133</v>
      </c>
      <c r="Q15" s="2" t="s">
        <v>134</v>
      </c>
      <c r="R15" s="50"/>
      <c r="S15" s="51"/>
      <c r="T15" s="51"/>
      <c r="U15" s="51"/>
      <c r="V15" s="51"/>
      <c r="W15" s="51"/>
    </row>
    <row r="16" spans="1:26" ht="101.5" x14ac:dyDescent="0.45">
      <c r="A16" s="27" t="s">
        <v>233</v>
      </c>
      <c r="B16" s="2" t="s">
        <v>146</v>
      </c>
      <c r="C16" s="25" t="s">
        <v>158</v>
      </c>
      <c r="D16" s="60"/>
      <c r="E16" s="60"/>
      <c r="F16" s="60">
        <v>1</v>
      </c>
      <c r="G16" s="60">
        <v>1</v>
      </c>
      <c r="H16" s="8">
        <f t="shared" si="10"/>
        <v>1</v>
      </c>
      <c r="I16" s="26" t="str">
        <f t="shared" si="11"/>
        <v>Low</v>
      </c>
      <c r="J16" s="63" t="s">
        <v>196</v>
      </c>
      <c r="K16" s="49" t="s">
        <v>271</v>
      </c>
      <c r="L16" s="9" t="s">
        <v>64</v>
      </c>
      <c r="M16" s="2">
        <f t="shared" si="7"/>
        <v>0.75</v>
      </c>
      <c r="N16" s="24">
        <f t="shared" si="8"/>
        <v>0.25</v>
      </c>
      <c r="O16" s="26" t="str">
        <f t="shared" si="9"/>
        <v>Low</v>
      </c>
      <c r="P16" s="8" t="s">
        <v>133</v>
      </c>
      <c r="Q16" s="2" t="s">
        <v>134</v>
      </c>
      <c r="R16" s="50"/>
      <c r="S16" s="51"/>
      <c r="T16" s="51"/>
      <c r="U16" s="51"/>
      <c r="V16" s="51"/>
      <c r="W16" s="51"/>
    </row>
    <row r="17" spans="1:23" ht="88" x14ac:dyDescent="0.45">
      <c r="A17" s="27" t="s">
        <v>234</v>
      </c>
      <c r="B17" s="2" t="s">
        <v>146</v>
      </c>
      <c r="C17" s="25" t="s">
        <v>159</v>
      </c>
      <c r="D17" s="60"/>
      <c r="E17" s="60"/>
      <c r="F17" s="60">
        <v>1</v>
      </c>
      <c r="G17" s="60">
        <v>1</v>
      </c>
      <c r="H17" s="8">
        <f t="shared" si="10"/>
        <v>1</v>
      </c>
      <c r="I17" s="26" t="str">
        <f t="shared" si="11"/>
        <v>Low</v>
      </c>
      <c r="J17" s="63" t="s">
        <v>197</v>
      </c>
      <c r="K17" s="49" t="s">
        <v>272</v>
      </c>
      <c r="L17" s="9" t="s">
        <v>64</v>
      </c>
      <c r="M17" s="2">
        <f t="shared" si="7"/>
        <v>0.75</v>
      </c>
      <c r="N17" s="24">
        <f t="shared" si="8"/>
        <v>0.25</v>
      </c>
      <c r="O17" s="26" t="str">
        <f t="shared" si="9"/>
        <v>Low</v>
      </c>
      <c r="P17" s="8" t="s">
        <v>133</v>
      </c>
      <c r="Q17" s="2" t="s">
        <v>134</v>
      </c>
      <c r="R17" s="50"/>
      <c r="S17" s="51"/>
      <c r="T17" s="51"/>
      <c r="U17" s="51"/>
      <c r="V17" s="51"/>
      <c r="W17" s="51"/>
    </row>
    <row r="18" spans="1:23" ht="88" x14ac:dyDescent="0.45">
      <c r="A18" s="27" t="s">
        <v>235</v>
      </c>
      <c r="B18" s="2" t="s">
        <v>146</v>
      </c>
      <c r="C18" s="25" t="s">
        <v>160</v>
      </c>
      <c r="D18" s="60"/>
      <c r="E18" s="60"/>
      <c r="F18" s="60">
        <v>1</v>
      </c>
      <c r="G18" s="60">
        <v>1</v>
      </c>
      <c r="H18" s="8">
        <f t="shared" si="10"/>
        <v>1</v>
      </c>
      <c r="I18" s="26" t="str">
        <f t="shared" si="11"/>
        <v>Low</v>
      </c>
      <c r="J18" s="63" t="s">
        <v>198</v>
      </c>
      <c r="K18" s="49" t="s">
        <v>273</v>
      </c>
      <c r="L18" s="9" t="s">
        <v>64</v>
      </c>
      <c r="M18" s="2">
        <f t="shared" si="7"/>
        <v>0.75</v>
      </c>
      <c r="N18" s="24">
        <f t="shared" si="8"/>
        <v>0.25</v>
      </c>
      <c r="O18" s="26" t="str">
        <f t="shared" si="9"/>
        <v>Low</v>
      </c>
      <c r="P18" s="8" t="s">
        <v>133</v>
      </c>
      <c r="Q18" s="2" t="s">
        <v>134</v>
      </c>
      <c r="R18" s="50"/>
      <c r="S18" s="51"/>
      <c r="T18" s="51"/>
      <c r="U18" s="51"/>
      <c r="V18" s="51"/>
      <c r="W18" s="51"/>
    </row>
    <row r="19" spans="1:23" ht="88" x14ac:dyDescent="0.45">
      <c r="A19" s="27" t="s">
        <v>236</v>
      </c>
      <c r="B19" s="2" t="s">
        <v>146</v>
      </c>
      <c r="C19" s="25" t="s">
        <v>161</v>
      </c>
      <c r="D19" s="60"/>
      <c r="E19" s="60"/>
      <c r="F19" s="60">
        <v>1</v>
      </c>
      <c r="G19" s="60">
        <v>1</v>
      </c>
      <c r="H19" s="8">
        <f t="shared" si="10"/>
        <v>1</v>
      </c>
      <c r="I19" s="26" t="str">
        <f t="shared" si="11"/>
        <v>Low</v>
      </c>
      <c r="J19" s="63" t="s">
        <v>199</v>
      </c>
      <c r="K19" s="49" t="s">
        <v>274</v>
      </c>
      <c r="L19" s="9" t="s">
        <v>64</v>
      </c>
      <c r="M19" s="2">
        <f t="shared" si="7"/>
        <v>0.75</v>
      </c>
      <c r="N19" s="24">
        <f t="shared" si="8"/>
        <v>0.25</v>
      </c>
      <c r="O19" s="26" t="str">
        <f t="shared" si="9"/>
        <v>Low</v>
      </c>
      <c r="P19" s="8" t="s">
        <v>133</v>
      </c>
      <c r="Q19" s="2" t="s">
        <v>134</v>
      </c>
      <c r="R19" s="50"/>
      <c r="S19" s="51"/>
      <c r="T19" s="51"/>
      <c r="U19" s="51"/>
      <c r="V19" s="51"/>
      <c r="W19" s="51"/>
    </row>
    <row r="20" spans="1:23" ht="87" x14ac:dyDescent="0.45">
      <c r="A20" s="27" t="s">
        <v>237</v>
      </c>
      <c r="B20" s="2" t="s">
        <v>146</v>
      </c>
      <c r="C20" s="63" t="s">
        <v>162</v>
      </c>
      <c r="D20" s="60"/>
      <c r="E20" s="60"/>
      <c r="F20" s="60">
        <v>1</v>
      </c>
      <c r="G20" s="60">
        <v>1</v>
      </c>
      <c r="H20" s="8">
        <f t="shared" si="10"/>
        <v>1</v>
      </c>
      <c r="I20" s="26" t="str">
        <f t="shared" si="11"/>
        <v>Low</v>
      </c>
      <c r="J20" s="63" t="s">
        <v>200</v>
      </c>
      <c r="K20" s="49" t="s">
        <v>275</v>
      </c>
      <c r="L20" s="9" t="s">
        <v>64</v>
      </c>
      <c r="M20" s="2">
        <f t="shared" si="7"/>
        <v>0.75</v>
      </c>
      <c r="N20" s="24">
        <f t="shared" si="8"/>
        <v>0.25</v>
      </c>
      <c r="O20" s="26" t="str">
        <f t="shared" si="9"/>
        <v>Low</v>
      </c>
      <c r="P20" s="8" t="s">
        <v>133</v>
      </c>
      <c r="Q20" s="2" t="s">
        <v>134</v>
      </c>
      <c r="R20" s="50"/>
      <c r="S20" s="51"/>
      <c r="T20" s="51"/>
      <c r="U20" s="51"/>
      <c r="V20" s="51"/>
      <c r="W20" s="51"/>
    </row>
    <row r="21" spans="1:23" ht="88" x14ac:dyDescent="0.45">
      <c r="A21" s="27" t="s">
        <v>238</v>
      </c>
      <c r="B21" s="2" t="s">
        <v>146</v>
      </c>
      <c r="C21" s="25" t="s">
        <v>163</v>
      </c>
      <c r="D21" s="60"/>
      <c r="E21" s="60"/>
      <c r="F21" s="60">
        <v>1</v>
      </c>
      <c r="G21" s="60">
        <v>1</v>
      </c>
      <c r="H21" s="8">
        <f t="shared" si="10"/>
        <v>1</v>
      </c>
      <c r="I21" s="26" t="str">
        <f t="shared" si="11"/>
        <v>Low</v>
      </c>
      <c r="J21" s="63" t="s">
        <v>201</v>
      </c>
      <c r="K21" s="49" t="s">
        <v>276</v>
      </c>
      <c r="L21" s="9" t="s">
        <v>64</v>
      </c>
      <c r="M21" s="2">
        <f t="shared" si="7"/>
        <v>0.75</v>
      </c>
      <c r="N21" s="24">
        <f t="shared" si="8"/>
        <v>0.25</v>
      </c>
      <c r="O21" s="26" t="str">
        <f t="shared" si="9"/>
        <v>Low</v>
      </c>
      <c r="P21" s="8" t="s">
        <v>133</v>
      </c>
      <c r="Q21" s="2" t="s">
        <v>134</v>
      </c>
      <c r="R21" s="50"/>
      <c r="S21" s="51"/>
      <c r="T21" s="51"/>
      <c r="U21" s="51"/>
      <c r="V21" s="51"/>
      <c r="W21" s="51"/>
    </row>
    <row r="22" spans="1:23" ht="101.5" x14ac:dyDescent="0.45">
      <c r="A22" s="27" t="s">
        <v>239</v>
      </c>
      <c r="B22" s="2" t="s">
        <v>146</v>
      </c>
      <c r="C22" s="63" t="s">
        <v>164</v>
      </c>
      <c r="D22" s="60"/>
      <c r="E22" s="60"/>
      <c r="F22" s="60">
        <v>1</v>
      </c>
      <c r="G22" s="60">
        <v>1</v>
      </c>
      <c r="H22" s="8">
        <f t="shared" si="10"/>
        <v>1</v>
      </c>
      <c r="I22" s="26" t="str">
        <f t="shared" si="11"/>
        <v>Low</v>
      </c>
      <c r="J22" s="63" t="s">
        <v>202</v>
      </c>
      <c r="K22" s="49" t="s">
        <v>277</v>
      </c>
      <c r="L22" s="9" t="s">
        <v>64</v>
      </c>
      <c r="M22" s="2">
        <f t="shared" si="7"/>
        <v>0.75</v>
      </c>
      <c r="N22" s="24">
        <f t="shared" si="8"/>
        <v>0.25</v>
      </c>
      <c r="O22" s="26" t="str">
        <f t="shared" si="9"/>
        <v>Low</v>
      </c>
      <c r="P22" s="8" t="s">
        <v>133</v>
      </c>
      <c r="Q22" s="2" t="s">
        <v>134</v>
      </c>
      <c r="R22" s="50"/>
      <c r="S22" s="51"/>
      <c r="T22" s="51"/>
      <c r="U22" s="51"/>
      <c r="V22" s="51"/>
      <c r="W22" s="51"/>
    </row>
    <row r="23" spans="1:23" ht="88" x14ac:dyDescent="0.45">
      <c r="A23" s="27" t="s">
        <v>240</v>
      </c>
      <c r="B23" s="2" t="s">
        <v>146</v>
      </c>
      <c r="C23" s="25" t="s">
        <v>165</v>
      </c>
      <c r="D23" s="60"/>
      <c r="E23" s="60"/>
      <c r="F23" s="60">
        <v>1</v>
      </c>
      <c r="G23" s="60">
        <v>1</v>
      </c>
      <c r="H23" s="8">
        <f t="shared" si="10"/>
        <v>1</v>
      </c>
      <c r="I23" s="26" t="str">
        <f t="shared" si="11"/>
        <v>Low</v>
      </c>
      <c r="J23" s="63" t="s">
        <v>203</v>
      </c>
      <c r="K23" s="49" t="s">
        <v>278</v>
      </c>
      <c r="L23" s="9" t="s">
        <v>64</v>
      </c>
      <c r="M23" s="2">
        <f t="shared" si="7"/>
        <v>0.75</v>
      </c>
      <c r="N23" s="24">
        <f t="shared" si="8"/>
        <v>0.25</v>
      </c>
      <c r="O23" s="26" t="str">
        <f t="shared" si="9"/>
        <v>Low</v>
      </c>
      <c r="P23" s="8" t="s">
        <v>133</v>
      </c>
      <c r="Q23" s="2" t="s">
        <v>134</v>
      </c>
      <c r="R23" s="50"/>
      <c r="S23" s="51"/>
      <c r="T23" s="51"/>
      <c r="U23" s="51"/>
      <c r="V23" s="51"/>
      <c r="W23" s="51"/>
    </row>
    <row r="24" spans="1:23" ht="88" x14ac:dyDescent="0.45">
      <c r="A24" s="27" t="s">
        <v>241</v>
      </c>
      <c r="B24" s="2" t="s">
        <v>146</v>
      </c>
      <c r="C24" s="25" t="s">
        <v>166</v>
      </c>
      <c r="D24" s="60"/>
      <c r="E24" s="60"/>
      <c r="F24" s="60">
        <v>1</v>
      </c>
      <c r="G24" s="60">
        <v>1</v>
      </c>
      <c r="H24" s="8">
        <f t="shared" si="10"/>
        <v>1</v>
      </c>
      <c r="I24" s="26" t="str">
        <f t="shared" si="11"/>
        <v>Low</v>
      </c>
      <c r="J24" s="63" t="s">
        <v>204</v>
      </c>
      <c r="K24" s="49" t="s">
        <v>279</v>
      </c>
      <c r="L24" s="9" t="s">
        <v>64</v>
      </c>
      <c r="M24" s="2">
        <f t="shared" si="7"/>
        <v>0.75</v>
      </c>
      <c r="N24" s="24">
        <f t="shared" si="8"/>
        <v>0.25</v>
      </c>
      <c r="O24" s="26" t="str">
        <f t="shared" si="9"/>
        <v>Low</v>
      </c>
      <c r="P24" s="8" t="s">
        <v>133</v>
      </c>
      <c r="Q24" s="2" t="s">
        <v>134</v>
      </c>
      <c r="R24" s="50"/>
      <c r="S24" s="51"/>
      <c r="T24" s="51"/>
      <c r="U24" s="51"/>
      <c r="V24" s="51"/>
      <c r="W24" s="51"/>
    </row>
    <row r="25" spans="1:23" ht="102.5" x14ac:dyDescent="0.45">
      <c r="A25" s="27" t="s">
        <v>242</v>
      </c>
      <c r="B25" s="2" t="s">
        <v>146</v>
      </c>
      <c r="C25" s="25" t="s">
        <v>167</v>
      </c>
      <c r="D25" s="60"/>
      <c r="E25" s="60"/>
      <c r="F25" s="60">
        <v>1</v>
      </c>
      <c r="G25" s="60">
        <v>1</v>
      </c>
      <c r="H25" s="8">
        <f t="shared" si="10"/>
        <v>1</v>
      </c>
      <c r="I25" s="26" t="str">
        <f t="shared" si="11"/>
        <v>Low</v>
      </c>
      <c r="J25" s="63" t="s">
        <v>205</v>
      </c>
      <c r="K25" s="49" t="s">
        <v>280</v>
      </c>
      <c r="L25" s="9" t="s">
        <v>64</v>
      </c>
      <c r="M25" s="2">
        <f t="shared" si="7"/>
        <v>0.75</v>
      </c>
      <c r="N25" s="24">
        <f t="shared" si="8"/>
        <v>0.25</v>
      </c>
      <c r="O25" s="26" t="str">
        <f t="shared" si="9"/>
        <v>Low</v>
      </c>
      <c r="P25" s="8" t="s">
        <v>133</v>
      </c>
      <c r="Q25" s="2" t="s">
        <v>134</v>
      </c>
      <c r="R25" s="50"/>
      <c r="S25" s="51"/>
      <c r="T25" s="51"/>
      <c r="U25" s="51"/>
      <c r="V25" s="51"/>
      <c r="W25" s="51"/>
    </row>
    <row r="26" spans="1:23" ht="102.5" x14ac:dyDescent="0.45">
      <c r="A26" s="27" t="s">
        <v>243</v>
      </c>
      <c r="B26" s="2" t="s">
        <v>146</v>
      </c>
      <c r="C26" s="25" t="s">
        <v>168</v>
      </c>
      <c r="D26" s="60"/>
      <c r="E26" s="60"/>
      <c r="F26" s="60">
        <v>1</v>
      </c>
      <c r="G26" s="60">
        <v>1</v>
      </c>
      <c r="H26" s="8">
        <f t="shared" si="10"/>
        <v>1</v>
      </c>
      <c r="I26" s="26" t="str">
        <f t="shared" si="11"/>
        <v>Low</v>
      </c>
      <c r="J26" s="63" t="s">
        <v>206</v>
      </c>
      <c r="K26" s="49" t="s">
        <v>281</v>
      </c>
      <c r="L26" s="9" t="s">
        <v>64</v>
      </c>
      <c r="M26" s="2">
        <f t="shared" si="7"/>
        <v>0.75</v>
      </c>
      <c r="N26" s="24">
        <f t="shared" si="8"/>
        <v>0.25</v>
      </c>
      <c r="O26" s="26" t="str">
        <f t="shared" si="9"/>
        <v>Low</v>
      </c>
      <c r="P26" s="8" t="s">
        <v>133</v>
      </c>
      <c r="Q26" s="2" t="s">
        <v>134</v>
      </c>
      <c r="R26" s="50"/>
      <c r="S26" s="51"/>
      <c r="T26" s="51"/>
      <c r="U26" s="51"/>
      <c r="V26" s="51"/>
      <c r="W26" s="51"/>
    </row>
    <row r="27" spans="1:23" ht="102.5" x14ac:dyDescent="0.45">
      <c r="A27" s="27" t="s">
        <v>244</v>
      </c>
      <c r="B27" s="2" t="s">
        <v>146</v>
      </c>
      <c r="C27" s="25" t="s">
        <v>169</v>
      </c>
      <c r="D27" s="60"/>
      <c r="E27" s="60"/>
      <c r="F27" s="60">
        <v>1</v>
      </c>
      <c r="G27" s="60">
        <v>1</v>
      </c>
      <c r="H27" s="8">
        <f t="shared" si="10"/>
        <v>1</v>
      </c>
      <c r="I27" s="26" t="str">
        <f t="shared" si="11"/>
        <v>Low</v>
      </c>
      <c r="J27" s="63" t="s">
        <v>207</v>
      </c>
      <c r="K27" s="49" t="s">
        <v>282</v>
      </c>
      <c r="L27" s="9" t="s">
        <v>64</v>
      </c>
      <c r="M27" s="2">
        <f t="shared" si="7"/>
        <v>0.75</v>
      </c>
      <c r="N27" s="24">
        <f t="shared" si="8"/>
        <v>0.25</v>
      </c>
      <c r="O27" s="26" t="str">
        <f t="shared" si="9"/>
        <v>Low</v>
      </c>
      <c r="P27" s="8" t="s">
        <v>133</v>
      </c>
      <c r="Q27" s="2" t="s">
        <v>134</v>
      </c>
      <c r="R27" s="50"/>
      <c r="S27" s="51"/>
      <c r="T27" s="51"/>
      <c r="U27" s="51"/>
      <c r="V27" s="51"/>
      <c r="W27" s="51"/>
    </row>
    <row r="28" spans="1:23" ht="101.5" x14ac:dyDescent="0.45">
      <c r="A28" s="27" t="s">
        <v>245</v>
      </c>
      <c r="B28" s="2" t="s">
        <v>146</v>
      </c>
      <c r="C28" s="64" t="s">
        <v>170</v>
      </c>
      <c r="D28" s="60"/>
      <c r="E28" s="60"/>
      <c r="F28" s="60">
        <v>1</v>
      </c>
      <c r="G28" s="60">
        <v>1</v>
      </c>
      <c r="H28" s="8">
        <f t="shared" si="10"/>
        <v>1</v>
      </c>
      <c r="I28" s="26" t="str">
        <f t="shared" si="11"/>
        <v>Low</v>
      </c>
      <c r="J28" s="64" t="s">
        <v>208</v>
      </c>
      <c r="K28" s="49" t="s">
        <v>283</v>
      </c>
      <c r="L28" s="9" t="s">
        <v>64</v>
      </c>
      <c r="M28" s="2">
        <f t="shared" si="7"/>
        <v>0.75</v>
      </c>
      <c r="N28" s="24">
        <f t="shared" si="8"/>
        <v>0.25</v>
      </c>
      <c r="O28" s="26" t="str">
        <f t="shared" si="9"/>
        <v>Low</v>
      </c>
      <c r="P28" s="8" t="s">
        <v>133</v>
      </c>
      <c r="Q28" s="2" t="s">
        <v>134</v>
      </c>
      <c r="R28" s="50"/>
      <c r="S28" s="51"/>
      <c r="T28" s="51"/>
      <c r="U28" s="51"/>
      <c r="V28" s="51"/>
      <c r="W28" s="51"/>
    </row>
    <row r="29" spans="1:23" ht="88" x14ac:dyDescent="0.45">
      <c r="A29" s="27" t="s">
        <v>246</v>
      </c>
      <c r="B29" s="2" t="s">
        <v>146</v>
      </c>
      <c r="C29" s="65" t="s">
        <v>171</v>
      </c>
      <c r="D29" s="60"/>
      <c r="E29" s="60"/>
      <c r="F29" s="60">
        <v>1</v>
      </c>
      <c r="G29" s="60">
        <v>1</v>
      </c>
      <c r="H29" s="8">
        <f t="shared" si="10"/>
        <v>1</v>
      </c>
      <c r="I29" s="26" t="str">
        <f t="shared" si="11"/>
        <v>Low</v>
      </c>
      <c r="J29" s="64" t="s">
        <v>209</v>
      </c>
      <c r="K29" s="49" t="s">
        <v>284</v>
      </c>
      <c r="L29" s="9" t="s">
        <v>64</v>
      </c>
      <c r="M29" s="2">
        <f t="shared" si="7"/>
        <v>0.75</v>
      </c>
      <c r="N29" s="24">
        <f t="shared" si="8"/>
        <v>0.25</v>
      </c>
      <c r="O29" s="26" t="str">
        <f t="shared" si="9"/>
        <v>Low</v>
      </c>
      <c r="P29" s="8" t="s">
        <v>133</v>
      </c>
      <c r="Q29" s="2" t="s">
        <v>134</v>
      </c>
      <c r="R29" s="50"/>
      <c r="S29" s="51"/>
      <c r="T29" s="51"/>
      <c r="U29" s="51"/>
      <c r="V29" s="51"/>
      <c r="W29" s="51"/>
    </row>
    <row r="30" spans="1:23" s="5" customFormat="1" ht="88" x14ac:dyDescent="0.45">
      <c r="A30" s="27" t="s">
        <v>247</v>
      </c>
      <c r="B30" s="2" t="s">
        <v>146</v>
      </c>
      <c r="C30" s="65" t="s">
        <v>172</v>
      </c>
      <c r="D30" s="60"/>
      <c r="E30" s="60"/>
      <c r="F30" s="60">
        <v>1</v>
      </c>
      <c r="G30" s="60">
        <v>1</v>
      </c>
      <c r="H30" s="8">
        <f t="shared" si="10"/>
        <v>1</v>
      </c>
      <c r="I30" s="26" t="str">
        <f t="shared" si="11"/>
        <v>Low</v>
      </c>
      <c r="J30" s="64" t="s">
        <v>210</v>
      </c>
      <c r="K30" s="49" t="s">
        <v>285</v>
      </c>
      <c r="L30" s="9" t="s">
        <v>64</v>
      </c>
      <c r="M30" s="2">
        <f t="shared" si="7"/>
        <v>0.75</v>
      </c>
      <c r="N30" s="24">
        <f t="shared" si="8"/>
        <v>0.25</v>
      </c>
      <c r="O30" s="26" t="str">
        <f t="shared" si="9"/>
        <v>Low</v>
      </c>
      <c r="P30" s="8" t="s">
        <v>133</v>
      </c>
      <c r="Q30" s="2" t="s">
        <v>134</v>
      </c>
      <c r="R30" s="60"/>
      <c r="S30" s="59"/>
      <c r="T30" s="59"/>
      <c r="U30" s="59"/>
      <c r="V30" s="59"/>
      <c r="W30" s="59"/>
    </row>
    <row r="31" spans="1:23" s="5" customFormat="1" ht="88" x14ac:dyDescent="0.45">
      <c r="A31" s="27" t="s">
        <v>248</v>
      </c>
      <c r="B31" s="2" t="s">
        <v>146</v>
      </c>
      <c r="C31" s="65" t="s">
        <v>173</v>
      </c>
      <c r="D31" s="60"/>
      <c r="E31" s="60"/>
      <c r="F31" s="60">
        <v>1</v>
      </c>
      <c r="G31" s="60">
        <v>1</v>
      </c>
      <c r="H31" s="8">
        <f t="shared" si="10"/>
        <v>1</v>
      </c>
      <c r="I31" s="26" t="str">
        <f t="shared" si="11"/>
        <v>Low</v>
      </c>
      <c r="J31" s="64" t="s">
        <v>211</v>
      </c>
      <c r="K31" s="49" t="s">
        <v>286</v>
      </c>
      <c r="L31" s="9" t="s">
        <v>64</v>
      </c>
      <c r="M31" s="2">
        <f t="shared" si="7"/>
        <v>0.75</v>
      </c>
      <c r="N31" s="24">
        <f t="shared" si="8"/>
        <v>0.25</v>
      </c>
      <c r="O31" s="26" t="str">
        <f t="shared" si="9"/>
        <v>Low</v>
      </c>
      <c r="P31" s="8" t="s">
        <v>133</v>
      </c>
      <c r="Q31" s="2" t="s">
        <v>134</v>
      </c>
      <c r="R31" s="60"/>
      <c r="S31" s="59"/>
      <c r="T31" s="59"/>
      <c r="U31" s="59"/>
      <c r="V31" s="59"/>
      <c r="W31" s="59"/>
    </row>
    <row r="32" spans="1:23" s="5" customFormat="1" ht="88" x14ac:dyDescent="0.45">
      <c r="A32" s="27" t="s">
        <v>249</v>
      </c>
      <c r="B32" s="2" t="s">
        <v>146</v>
      </c>
      <c r="C32" s="65" t="s">
        <v>174</v>
      </c>
      <c r="D32" s="60"/>
      <c r="E32" s="60"/>
      <c r="F32" s="60">
        <v>1</v>
      </c>
      <c r="G32" s="60">
        <v>1</v>
      </c>
      <c r="H32" s="8">
        <f t="shared" si="10"/>
        <v>1</v>
      </c>
      <c r="I32" s="26" t="str">
        <f t="shared" si="11"/>
        <v>Low</v>
      </c>
      <c r="J32" s="64" t="s">
        <v>212</v>
      </c>
      <c r="K32" s="49" t="s">
        <v>287</v>
      </c>
      <c r="L32" s="9" t="s">
        <v>64</v>
      </c>
      <c r="M32" s="2">
        <f t="shared" si="7"/>
        <v>0.75</v>
      </c>
      <c r="N32" s="24">
        <f t="shared" si="8"/>
        <v>0.25</v>
      </c>
      <c r="O32" s="26" t="str">
        <f t="shared" si="9"/>
        <v>Low</v>
      </c>
      <c r="P32" s="8" t="s">
        <v>133</v>
      </c>
      <c r="Q32" s="2" t="s">
        <v>134</v>
      </c>
      <c r="R32" s="60"/>
      <c r="S32" s="59"/>
      <c r="T32" s="59"/>
      <c r="U32" s="59"/>
      <c r="V32" s="59"/>
      <c r="W32" s="59"/>
    </row>
    <row r="33" spans="1:23" s="5" customFormat="1" ht="88" x14ac:dyDescent="0.45">
      <c r="A33" s="27" t="s">
        <v>250</v>
      </c>
      <c r="B33" s="2" t="s">
        <v>146</v>
      </c>
      <c r="C33" s="25" t="s">
        <v>175</v>
      </c>
      <c r="D33" s="60"/>
      <c r="E33" s="60"/>
      <c r="F33" s="60">
        <v>1</v>
      </c>
      <c r="G33" s="60">
        <v>1</v>
      </c>
      <c r="H33" s="8">
        <f t="shared" si="10"/>
        <v>1</v>
      </c>
      <c r="I33" s="26" t="str">
        <f t="shared" si="11"/>
        <v>Low</v>
      </c>
      <c r="J33" s="63" t="s">
        <v>213</v>
      </c>
      <c r="K33" s="36" t="s">
        <v>288</v>
      </c>
      <c r="L33" s="9" t="s">
        <v>64</v>
      </c>
      <c r="M33" s="2">
        <f t="shared" si="7"/>
        <v>0.75</v>
      </c>
      <c r="N33" s="24">
        <f t="shared" si="8"/>
        <v>0.25</v>
      </c>
      <c r="O33" s="26" t="str">
        <f t="shared" si="9"/>
        <v>Low</v>
      </c>
      <c r="P33" s="8" t="s">
        <v>133</v>
      </c>
      <c r="Q33" s="2" t="s">
        <v>134</v>
      </c>
      <c r="R33" s="60"/>
      <c r="S33" s="59"/>
      <c r="T33" s="59"/>
      <c r="U33" s="59"/>
      <c r="V33" s="59"/>
      <c r="W33" s="59"/>
    </row>
    <row r="34" spans="1:23" s="5" customFormat="1" ht="88" x14ac:dyDescent="0.45">
      <c r="A34" s="27" t="s">
        <v>251</v>
      </c>
      <c r="B34" s="2" t="s">
        <v>146</v>
      </c>
      <c r="C34" s="65" t="s">
        <v>176</v>
      </c>
      <c r="D34" s="60"/>
      <c r="E34" s="60"/>
      <c r="F34" s="60">
        <v>1</v>
      </c>
      <c r="G34" s="60">
        <v>1</v>
      </c>
      <c r="H34" s="8">
        <f t="shared" si="10"/>
        <v>1</v>
      </c>
      <c r="I34" s="26" t="str">
        <f t="shared" si="11"/>
        <v>Low</v>
      </c>
      <c r="J34" s="64" t="s">
        <v>214</v>
      </c>
      <c r="K34" s="36" t="s">
        <v>289</v>
      </c>
      <c r="L34" s="9" t="s">
        <v>64</v>
      </c>
      <c r="M34" s="2">
        <f t="shared" si="7"/>
        <v>0.75</v>
      </c>
      <c r="N34" s="24">
        <f t="shared" si="8"/>
        <v>0.25</v>
      </c>
      <c r="O34" s="26" t="str">
        <f t="shared" si="9"/>
        <v>Low</v>
      </c>
      <c r="P34" s="8" t="s">
        <v>133</v>
      </c>
      <c r="Q34" s="2" t="s">
        <v>134</v>
      </c>
      <c r="R34" s="60"/>
      <c r="S34" s="59"/>
      <c r="T34" s="59"/>
      <c r="U34" s="59"/>
      <c r="V34" s="59"/>
      <c r="W34" s="59"/>
    </row>
    <row r="35" spans="1:23" s="5" customFormat="1" ht="88" x14ac:dyDescent="0.45">
      <c r="A35" s="27" t="s">
        <v>252</v>
      </c>
      <c r="B35" s="2" t="s">
        <v>146</v>
      </c>
      <c r="C35" s="25" t="s">
        <v>177</v>
      </c>
      <c r="D35" s="60"/>
      <c r="E35" s="60"/>
      <c r="F35" s="60">
        <v>1</v>
      </c>
      <c r="G35" s="60">
        <v>1</v>
      </c>
      <c r="H35" s="8">
        <f t="shared" si="10"/>
        <v>1</v>
      </c>
      <c r="I35" s="26" t="str">
        <f t="shared" si="11"/>
        <v>Low</v>
      </c>
      <c r="J35" s="63" t="s">
        <v>215</v>
      </c>
      <c r="K35" s="36" t="s">
        <v>290</v>
      </c>
      <c r="L35" s="9" t="s">
        <v>64</v>
      </c>
      <c r="M35" s="2">
        <f t="shared" si="7"/>
        <v>0.75</v>
      </c>
      <c r="N35" s="24">
        <f t="shared" si="8"/>
        <v>0.25</v>
      </c>
      <c r="O35" s="26" t="str">
        <f t="shared" si="9"/>
        <v>Low</v>
      </c>
      <c r="P35" s="8" t="s">
        <v>133</v>
      </c>
      <c r="Q35" s="2" t="s">
        <v>134</v>
      </c>
      <c r="R35" s="60"/>
      <c r="S35" s="59"/>
      <c r="T35" s="59"/>
      <c r="U35" s="59"/>
      <c r="V35" s="59"/>
      <c r="W35" s="59"/>
    </row>
    <row r="36" spans="1:23" s="5" customFormat="1" ht="88" x14ac:dyDescent="0.45">
      <c r="A36" s="27" t="s">
        <v>253</v>
      </c>
      <c r="B36" s="2" t="s">
        <v>146</v>
      </c>
      <c r="C36" s="25" t="s">
        <v>178</v>
      </c>
      <c r="D36" s="60"/>
      <c r="E36" s="60"/>
      <c r="F36" s="60">
        <v>1</v>
      </c>
      <c r="G36" s="60">
        <v>1</v>
      </c>
      <c r="H36" s="8">
        <f t="shared" si="10"/>
        <v>1</v>
      </c>
      <c r="I36" s="26" t="str">
        <f t="shared" si="11"/>
        <v>Low</v>
      </c>
      <c r="J36" s="63" t="s">
        <v>216</v>
      </c>
      <c r="K36" s="36" t="s">
        <v>291</v>
      </c>
      <c r="L36" s="9" t="s">
        <v>64</v>
      </c>
      <c r="M36" s="2">
        <f t="shared" si="7"/>
        <v>0.75</v>
      </c>
      <c r="N36" s="24">
        <f t="shared" si="8"/>
        <v>0.25</v>
      </c>
      <c r="O36" s="26" t="str">
        <f t="shared" si="9"/>
        <v>Low</v>
      </c>
      <c r="P36" s="8" t="s">
        <v>133</v>
      </c>
      <c r="Q36" s="2" t="s">
        <v>134</v>
      </c>
      <c r="R36" s="60"/>
      <c r="S36" s="59"/>
      <c r="T36" s="59"/>
      <c r="U36" s="59"/>
      <c r="V36" s="59"/>
      <c r="W36" s="59"/>
    </row>
    <row r="37" spans="1:23" s="5" customFormat="1" ht="87" x14ac:dyDescent="0.45">
      <c r="A37" s="27" t="s">
        <v>254</v>
      </c>
      <c r="B37" s="2" t="s">
        <v>146</v>
      </c>
      <c r="C37" s="64" t="s">
        <v>179</v>
      </c>
      <c r="D37" s="60"/>
      <c r="E37" s="60"/>
      <c r="F37" s="60">
        <v>1</v>
      </c>
      <c r="G37" s="60">
        <v>1</v>
      </c>
      <c r="H37" s="8">
        <f t="shared" si="10"/>
        <v>1</v>
      </c>
      <c r="I37" s="26" t="str">
        <f t="shared" si="11"/>
        <v>Low</v>
      </c>
      <c r="J37" s="64" t="s">
        <v>217</v>
      </c>
      <c r="K37" s="36" t="s">
        <v>292</v>
      </c>
      <c r="L37" s="9" t="s">
        <v>64</v>
      </c>
      <c r="M37" s="2">
        <f t="shared" si="7"/>
        <v>0.75</v>
      </c>
      <c r="N37" s="24">
        <f t="shared" si="8"/>
        <v>0.25</v>
      </c>
      <c r="O37" s="26" t="str">
        <f t="shared" si="9"/>
        <v>Low</v>
      </c>
      <c r="P37" s="8" t="s">
        <v>133</v>
      </c>
      <c r="Q37" s="2" t="s">
        <v>134</v>
      </c>
      <c r="R37" s="60"/>
      <c r="S37" s="59"/>
      <c r="T37" s="59"/>
      <c r="U37" s="59"/>
      <c r="V37" s="59"/>
      <c r="W37" s="59"/>
    </row>
    <row r="38" spans="1:23" s="5" customFormat="1" ht="88" x14ac:dyDescent="0.45">
      <c r="A38" s="27" t="s">
        <v>255</v>
      </c>
      <c r="B38" s="2" t="s">
        <v>146</v>
      </c>
      <c r="C38" s="65" t="s">
        <v>180</v>
      </c>
      <c r="D38" s="60"/>
      <c r="E38" s="60"/>
      <c r="F38" s="60">
        <v>1</v>
      </c>
      <c r="G38" s="60">
        <v>1</v>
      </c>
      <c r="H38" s="8">
        <f t="shared" si="10"/>
        <v>1</v>
      </c>
      <c r="I38" s="26" t="str">
        <f t="shared" si="11"/>
        <v>Low</v>
      </c>
      <c r="J38" s="64" t="s">
        <v>218</v>
      </c>
      <c r="K38" s="36" t="s">
        <v>293</v>
      </c>
      <c r="L38" s="9" t="s">
        <v>64</v>
      </c>
      <c r="M38" s="2">
        <f t="shared" si="7"/>
        <v>0.75</v>
      </c>
      <c r="N38" s="24">
        <f t="shared" si="8"/>
        <v>0.25</v>
      </c>
      <c r="O38" s="26" t="str">
        <f t="shared" si="9"/>
        <v>Low</v>
      </c>
      <c r="P38" s="8" t="s">
        <v>133</v>
      </c>
      <c r="Q38" s="2" t="s">
        <v>134</v>
      </c>
      <c r="R38" s="60"/>
      <c r="S38" s="59"/>
      <c r="T38" s="59"/>
      <c r="U38" s="59"/>
      <c r="V38" s="59"/>
      <c r="W38" s="59"/>
    </row>
    <row r="39" spans="1:23" s="5" customFormat="1" ht="88" x14ac:dyDescent="0.45">
      <c r="A39" s="27" t="s">
        <v>256</v>
      </c>
      <c r="B39" s="2" t="s">
        <v>146</v>
      </c>
      <c r="C39" s="25" t="s">
        <v>181</v>
      </c>
      <c r="D39" s="60"/>
      <c r="E39" s="60"/>
      <c r="F39" s="60">
        <v>1</v>
      </c>
      <c r="G39" s="60">
        <v>1</v>
      </c>
      <c r="H39" s="8">
        <f t="shared" si="10"/>
        <v>1</v>
      </c>
      <c r="I39" s="26" t="str">
        <f t="shared" si="11"/>
        <v>Low</v>
      </c>
      <c r="J39" s="63" t="s">
        <v>219</v>
      </c>
      <c r="K39" s="36" t="s">
        <v>294</v>
      </c>
      <c r="L39" s="9" t="s">
        <v>64</v>
      </c>
      <c r="M39" s="2">
        <f t="shared" si="7"/>
        <v>0.75</v>
      </c>
      <c r="N39" s="24">
        <f t="shared" si="8"/>
        <v>0.25</v>
      </c>
      <c r="O39" s="26" t="str">
        <f t="shared" si="9"/>
        <v>Low</v>
      </c>
      <c r="P39" s="8" t="s">
        <v>133</v>
      </c>
      <c r="Q39" s="2" t="s">
        <v>134</v>
      </c>
      <c r="R39" s="60"/>
      <c r="S39" s="59"/>
      <c r="T39" s="59"/>
      <c r="U39" s="59"/>
      <c r="V39" s="59"/>
      <c r="W39" s="59"/>
    </row>
    <row r="40" spans="1:23" s="5" customFormat="1" ht="88" x14ac:dyDescent="0.45">
      <c r="A40" s="27" t="s">
        <v>257</v>
      </c>
      <c r="B40" s="2" t="s">
        <v>146</v>
      </c>
      <c r="C40" s="65" t="s">
        <v>182</v>
      </c>
      <c r="D40" s="60"/>
      <c r="E40" s="60"/>
      <c r="F40" s="60">
        <v>1</v>
      </c>
      <c r="G40" s="60">
        <v>1</v>
      </c>
      <c r="H40" s="8">
        <f t="shared" si="10"/>
        <v>1</v>
      </c>
      <c r="I40" s="26" t="str">
        <f t="shared" si="11"/>
        <v>Low</v>
      </c>
      <c r="J40" s="64" t="s">
        <v>220</v>
      </c>
      <c r="K40" s="36" t="s">
        <v>295</v>
      </c>
      <c r="L40" s="9" t="s">
        <v>64</v>
      </c>
      <c r="M40" s="2">
        <f t="shared" si="7"/>
        <v>0.75</v>
      </c>
      <c r="N40" s="24">
        <f t="shared" si="8"/>
        <v>0.25</v>
      </c>
      <c r="O40" s="26" t="str">
        <f t="shared" si="9"/>
        <v>Low</v>
      </c>
      <c r="P40" s="8" t="s">
        <v>133</v>
      </c>
      <c r="Q40" s="2" t="s">
        <v>134</v>
      </c>
      <c r="R40" s="60"/>
      <c r="S40" s="59"/>
      <c r="T40" s="59"/>
      <c r="U40" s="59"/>
      <c r="V40" s="59"/>
      <c r="W40" s="59"/>
    </row>
    <row r="41" spans="1:23" s="5" customFormat="1" ht="101.5" x14ac:dyDescent="0.45">
      <c r="A41" s="27" t="s">
        <v>258</v>
      </c>
      <c r="B41" s="2" t="s">
        <v>146</v>
      </c>
      <c r="C41" s="64" t="s">
        <v>183</v>
      </c>
      <c r="D41" s="60"/>
      <c r="E41" s="60"/>
      <c r="F41" s="60">
        <v>1</v>
      </c>
      <c r="G41" s="60">
        <v>1</v>
      </c>
      <c r="H41" s="8">
        <f t="shared" si="10"/>
        <v>1</v>
      </c>
      <c r="I41" s="26" t="str">
        <f t="shared" si="11"/>
        <v>Low</v>
      </c>
      <c r="J41" s="64" t="s">
        <v>221</v>
      </c>
      <c r="K41" s="36" t="s">
        <v>296</v>
      </c>
      <c r="L41" s="9" t="s">
        <v>64</v>
      </c>
      <c r="M41" s="2">
        <f t="shared" si="7"/>
        <v>0.75</v>
      </c>
      <c r="N41" s="24">
        <f t="shared" si="8"/>
        <v>0.25</v>
      </c>
      <c r="O41" s="26" t="str">
        <f t="shared" si="9"/>
        <v>Low</v>
      </c>
      <c r="P41" s="8" t="s">
        <v>133</v>
      </c>
      <c r="Q41" s="2" t="s">
        <v>134</v>
      </c>
      <c r="R41" s="60"/>
      <c r="S41" s="59"/>
      <c r="T41" s="59"/>
      <c r="U41" s="59"/>
      <c r="V41" s="59"/>
      <c r="W41" s="59"/>
    </row>
    <row r="42" spans="1:23" ht="88" x14ac:dyDescent="0.45">
      <c r="A42" s="27" t="s">
        <v>259</v>
      </c>
      <c r="B42" s="2" t="s">
        <v>146</v>
      </c>
      <c r="C42" s="25" t="s">
        <v>184</v>
      </c>
      <c r="D42" s="60"/>
      <c r="E42" s="60"/>
      <c r="F42" s="60">
        <v>1</v>
      </c>
      <c r="G42" s="60">
        <v>1</v>
      </c>
      <c r="H42" s="8">
        <f t="shared" si="10"/>
        <v>1</v>
      </c>
      <c r="I42" s="26" t="str">
        <f t="shared" si="11"/>
        <v>Low</v>
      </c>
      <c r="J42" s="63" t="s">
        <v>222</v>
      </c>
      <c r="K42" s="36" t="s">
        <v>297</v>
      </c>
      <c r="L42" s="9" t="s">
        <v>64</v>
      </c>
      <c r="M42" s="2">
        <f t="shared" si="7"/>
        <v>0.75</v>
      </c>
      <c r="N42" s="24">
        <f t="shared" si="8"/>
        <v>0.25</v>
      </c>
      <c r="O42" s="26" t="str">
        <f t="shared" si="9"/>
        <v>Low</v>
      </c>
      <c r="P42" s="8" t="s">
        <v>133</v>
      </c>
      <c r="Q42" s="2" t="s">
        <v>134</v>
      </c>
      <c r="R42" s="50"/>
      <c r="S42" s="51"/>
      <c r="T42" s="51"/>
      <c r="U42" s="51"/>
      <c r="V42" s="51"/>
      <c r="W42" s="51"/>
    </row>
    <row r="43" spans="1:23" x14ac:dyDescent="0.45">
      <c r="B43" s="41" t="s">
        <v>318</v>
      </c>
    </row>
  </sheetData>
  <phoneticPr fontId="5" type="noConversion"/>
  <conditionalFormatting sqref="H5:H12">
    <cfRule type="cellIs" dxfId="32" priority="86" operator="between">
      <formula>0</formula>
      <formula>9</formula>
    </cfRule>
    <cfRule type="cellIs" dxfId="31" priority="98" operator="between">
      <formula>10</formula>
      <formula>18</formula>
    </cfRule>
    <cfRule type="cellIs" dxfId="30" priority="103" operator="greaterThanOrEqual">
      <formula>19</formula>
    </cfRule>
  </conditionalFormatting>
  <conditionalFormatting sqref="O5:O12">
    <cfRule type="containsText" dxfId="29" priority="25" operator="containsText" text="High">
      <formula>NOT(ISERROR(SEARCH("High",O5)))</formula>
    </cfRule>
    <cfRule type="containsText" dxfId="28" priority="26" operator="containsText" text="Medium">
      <formula>NOT(ISERROR(SEARCH("Medium",O5)))</formula>
    </cfRule>
    <cfRule type="containsText" dxfId="27" priority="27" operator="containsText" text="Low">
      <formula>NOT(ISERROR(SEARCH("Low",O5)))</formula>
    </cfRule>
  </conditionalFormatting>
  <conditionalFormatting sqref="N5:N12">
    <cfRule type="cellIs" dxfId="26" priority="31" operator="greaterThanOrEqual">
      <formula>19</formula>
    </cfRule>
    <cfRule type="cellIs" dxfId="25" priority="32" operator="between">
      <formula>10</formula>
      <formula>18</formula>
    </cfRule>
    <cfRule type="cellIs" dxfId="24" priority="33" operator="between">
      <formula>0</formula>
      <formula>9</formula>
    </cfRule>
  </conditionalFormatting>
  <conditionalFormatting sqref="I5">
    <cfRule type="containsText" dxfId="23" priority="22" operator="containsText" text="High">
      <formula>NOT(ISERROR(SEARCH("High",I5)))</formula>
    </cfRule>
    <cfRule type="containsText" dxfId="22" priority="23" operator="containsText" text="Medium">
      <formula>NOT(ISERROR(SEARCH("Medium",I5)))</formula>
    </cfRule>
    <cfRule type="containsText" dxfId="21" priority="24" operator="containsText" text="Low">
      <formula>NOT(ISERROR(SEARCH("Low",I5)))</formula>
    </cfRule>
  </conditionalFormatting>
  <conditionalFormatting sqref="I6:I12">
    <cfRule type="containsText" dxfId="20" priority="19" operator="containsText" text="High">
      <formula>NOT(ISERROR(SEARCH("High",I6)))</formula>
    </cfRule>
    <cfRule type="containsText" dxfId="19" priority="20" operator="containsText" text="Medium">
      <formula>NOT(ISERROR(SEARCH("Medium",I6)))</formula>
    </cfRule>
    <cfRule type="containsText" dxfId="18" priority="21" operator="containsText" text="Low">
      <formula>NOT(ISERROR(SEARCH("Low",I6)))</formula>
    </cfRule>
  </conditionalFormatting>
  <conditionalFormatting sqref="H13">
    <cfRule type="cellIs" dxfId="17" priority="16" operator="between">
      <formula>0</formula>
      <formula>9</formula>
    </cfRule>
    <cfRule type="cellIs" dxfId="16" priority="17" operator="between">
      <formula>10</formula>
      <formula>18</formula>
    </cfRule>
    <cfRule type="cellIs" dxfId="15" priority="18" operator="greaterThanOrEqual">
      <formula>19</formula>
    </cfRule>
  </conditionalFormatting>
  <conditionalFormatting sqref="I13">
    <cfRule type="containsText" dxfId="14" priority="13" operator="containsText" text="High">
      <formula>NOT(ISERROR(SEARCH("High",I13)))</formula>
    </cfRule>
    <cfRule type="containsText" dxfId="13" priority="14" operator="containsText" text="Medium">
      <formula>NOT(ISERROR(SEARCH("Medium",I13)))</formula>
    </cfRule>
    <cfRule type="containsText" dxfId="12" priority="15" operator="containsText" text="Low">
      <formula>NOT(ISERROR(SEARCH("Low",I13)))</formula>
    </cfRule>
  </conditionalFormatting>
  <conditionalFormatting sqref="H14:H42">
    <cfRule type="cellIs" dxfId="11" priority="10" operator="between">
      <formula>0</formula>
      <formula>9</formula>
    </cfRule>
    <cfRule type="cellIs" dxfId="10" priority="11" operator="between">
      <formula>10</formula>
      <formula>18</formula>
    </cfRule>
    <cfRule type="cellIs" dxfId="9" priority="12" operator="greaterThanOrEqual">
      <formula>19</formula>
    </cfRule>
  </conditionalFormatting>
  <conditionalFormatting sqref="I14:I42">
    <cfRule type="containsText" dxfId="8" priority="7" operator="containsText" text="High">
      <formula>NOT(ISERROR(SEARCH("High",I14)))</formula>
    </cfRule>
    <cfRule type="containsText" dxfId="7" priority="8" operator="containsText" text="Medium">
      <formula>NOT(ISERROR(SEARCH("Medium",I14)))</formula>
    </cfRule>
    <cfRule type="containsText" dxfId="6" priority="9" operator="containsText" text="Low">
      <formula>NOT(ISERROR(SEARCH("Low",I14)))</formula>
    </cfRule>
  </conditionalFormatting>
  <conditionalFormatting sqref="O13:O42">
    <cfRule type="containsText" dxfId="5" priority="1" operator="containsText" text="High">
      <formula>NOT(ISERROR(SEARCH("High",O13)))</formula>
    </cfRule>
    <cfRule type="containsText" dxfId="4" priority="2" operator="containsText" text="Medium">
      <formula>NOT(ISERROR(SEARCH("Medium",O13)))</formula>
    </cfRule>
    <cfRule type="containsText" dxfId="3" priority="3" operator="containsText" text="Low">
      <formula>NOT(ISERROR(SEARCH("Low",O13)))</formula>
    </cfRule>
  </conditionalFormatting>
  <conditionalFormatting sqref="N13:N42">
    <cfRule type="cellIs" dxfId="2" priority="4" operator="greaterThanOrEqual">
      <formula>19</formula>
    </cfRule>
    <cfRule type="cellIs" dxfId="1" priority="5" operator="between">
      <formula>10</formula>
      <formula>18</formula>
    </cfRule>
    <cfRule type="cellIs" dxfId="0" priority="6" operator="between">
      <formula>0</formula>
      <formula>9</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'Control Score'!$C$6:$C$21</xm:f>
          </x14:formula1>
          <xm:sqref>L5:L42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6"/>
  <sheetViews>
    <sheetView workbookViewId="0">
      <selection activeCell="C13" sqref="C13"/>
    </sheetView>
  </sheetViews>
  <sheetFormatPr defaultRowHeight="14.5" x14ac:dyDescent="0.35"/>
  <cols>
    <col min="3" max="3" width="44" customWidth="1"/>
    <col min="4" max="4" width="68.36328125" bestFit="1" customWidth="1"/>
  </cols>
  <sheetData>
    <row r="1" spans="2:4" x14ac:dyDescent="0.35">
      <c r="B1" t="s">
        <v>73</v>
      </c>
    </row>
    <row r="3" spans="2:4" x14ac:dyDescent="0.35">
      <c r="B3" s="38" t="s">
        <v>74</v>
      </c>
      <c r="C3" s="38" t="s">
        <v>75</v>
      </c>
      <c r="D3" s="38" t="s">
        <v>73</v>
      </c>
    </row>
    <row r="4" spans="2:4" x14ac:dyDescent="0.35">
      <c r="B4" s="35">
        <v>1</v>
      </c>
      <c r="C4" s="35" t="s">
        <v>101</v>
      </c>
      <c r="D4" s="35" t="s">
        <v>77</v>
      </c>
    </row>
    <row r="5" spans="2:4" x14ac:dyDescent="0.35">
      <c r="B5" s="35">
        <v>2</v>
      </c>
      <c r="C5" s="35" t="s">
        <v>102</v>
      </c>
      <c r="D5" s="35" t="s">
        <v>79</v>
      </c>
    </row>
    <row r="6" spans="2:4" x14ac:dyDescent="0.35">
      <c r="B6" s="35">
        <v>3</v>
      </c>
      <c r="C6" s="35" t="s">
        <v>103</v>
      </c>
      <c r="D6" s="35" t="s">
        <v>78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B17" sqref="B17"/>
    </sheetView>
  </sheetViews>
  <sheetFormatPr defaultRowHeight="14.5" x14ac:dyDescent="0.35"/>
  <cols>
    <col min="2" max="2" width="104.90625" customWidth="1"/>
    <col min="3" max="3" width="37.36328125" customWidth="1"/>
    <col min="4" max="4" width="22.81640625" customWidth="1"/>
  </cols>
  <sheetData>
    <row r="1" spans="1:4" x14ac:dyDescent="0.35">
      <c r="A1" s="39" t="s">
        <v>136</v>
      </c>
      <c r="B1" s="39" t="s">
        <v>137</v>
      </c>
    </row>
    <row r="2" spans="1:4" x14ac:dyDescent="0.35">
      <c r="A2">
        <v>1</v>
      </c>
      <c r="B2" t="s">
        <v>138</v>
      </c>
    </row>
    <row r="3" spans="1:4" x14ac:dyDescent="0.35">
      <c r="A3">
        <v>2</v>
      </c>
      <c r="B3" t="s">
        <v>139</v>
      </c>
    </row>
    <row r="4" spans="1:4" x14ac:dyDescent="0.35">
      <c r="A4">
        <v>3</v>
      </c>
      <c r="B4" t="s">
        <v>140</v>
      </c>
    </row>
    <row r="5" spans="1:4" x14ac:dyDescent="0.35">
      <c r="A5">
        <v>4</v>
      </c>
      <c r="B5" t="s">
        <v>141</v>
      </c>
      <c r="C5" s="39" t="s">
        <v>62</v>
      </c>
      <c r="D5" s="39" t="s">
        <v>63</v>
      </c>
    </row>
    <row r="6" spans="1:4" ht="29" x14ac:dyDescent="0.35">
      <c r="C6" s="25" t="s">
        <v>61</v>
      </c>
      <c r="D6" s="25" t="s">
        <v>69</v>
      </c>
    </row>
    <row r="7" spans="1:4" ht="29" x14ac:dyDescent="0.35">
      <c r="C7" s="25" t="s">
        <v>64</v>
      </c>
      <c r="D7" s="25" t="s">
        <v>70</v>
      </c>
    </row>
    <row r="8" spans="1:4" ht="29" x14ac:dyDescent="0.35">
      <c r="C8" s="25" t="s">
        <v>65</v>
      </c>
      <c r="D8" s="25" t="s">
        <v>71</v>
      </c>
    </row>
    <row r="9" spans="1:4" ht="29" x14ac:dyDescent="0.35">
      <c r="C9" s="25" t="s">
        <v>66</v>
      </c>
      <c r="D9" s="25" t="s">
        <v>72</v>
      </c>
    </row>
    <row r="10" spans="1:4" x14ac:dyDescent="0.35">
      <c r="C10" s="25" t="s">
        <v>60</v>
      </c>
      <c r="D10" s="25">
        <v>0</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7"/>
  <sheetViews>
    <sheetView workbookViewId="0">
      <selection activeCell="C15" sqref="C15"/>
    </sheetView>
  </sheetViews>
  <sheetFormatPr defaultRowHeight="14.5" x14ac:dyDescent="0.35"/>
  <cols>
    <col min="2" max="2" width="37.1796875" customWidth="1"/>
    <col min="3" max="3" width="16.81640625" customWidth="1"/>
    <col min="4" max="4" width="15.453125" customWidth="1"/>
    <col min="5" max="5" width="18.90625" customWidth="1"/>
    <col min="6" max="6" width="19.36328125" customWidth="1"/>
    <col min="7" max="7" width="17.453125" customWidth="1"/>
    <col min="8" max="8" width="17.36328125" customWidth="1"/>
    <col min="9" max="9" width="26.6328125" customWidth="1"/>
    <col min="10" max="10" width="18.81640625" customWidth="1"/>
    <col min="11" max="11" width="20.1796875" customWidth="1"/>
  </cols>
  <sheetData>
    <row r="2" spans="1:11" ht="18.5" x14ac:dyDescent="0.45">
      <c r="B2" s="90" t="s">
        <v>130</v>
      </c>
      <c r="C2" s="90"/>
      <c r="D2" s="90"/>
      <c r="E2" s="90"/>
      <c r="F2" s="90"/>
      <c r="G2" s="90"/>
      <c r="H2" s="90"/>
      <c r="I2" s="90"/>
      <c r="J2" s="90"/>
      <c r="K2" s="90"/>
    </row>
    <row r="4" spans="1:11" ht="29" x14ac:dyDescent="0.35">
      <c r="A4" s="52" t="s">
        <v>136</v>
      </c>
      <c r="B4" s="52" t="s">
        <v>112</v>
      </c>
      <c r="C4" s="52" t="s">
        <v>5</v>
      </c>
      <c r="D4" s="52" t="s">
        <v>113</v>
      </c>
      <c r="E4" s="52" t="s">
        <v>114</v>
      </c>
      <c r="F4" s="52" t="s">
        <v>115</v>
      </c>
      <c r="G4" s="52" t="s">
        <v>116</v>
      </c>
      <c r="H4" s="52" t="s">
        <v>117</v>
      </c>
      <c r="I4" s="52" t="s">
        <v>118</v>
      </c>
      <c r="J4" s="52" t="s">
        <v>119</v>
      </c>
      <c r="K4" s="52" t="s">
        <v>129</v>
      </c>
    </row>
    <row r="5" spans="1:11" ht="43.5" x14ac:dyDescent="0.35">
      <c r="B5" s="53" t="s">
        <v>299</v>
      </c>
      <c r="C5" s="53" t="s">
        <v>120</v>
      </c>
      <c r="D5" s="53" t="s">
        <v>121</v>
      </c>
      <c r="E5" s="53" t="s">
        <v>122</v>
      </c>
      <c r="F5" s="53" t="s">
        <v>123</v>
      </c>
      <c r="G5" s="53" t="s">
        <v>123</v>
      </c>
      <c r="H5" s="53" t="s">
        <v>124</v>
      </c>
      <c r="I5" s="53" t="s">
        <v>125</v>
      </c>
      <c r="J5" s="53" t="s">
        <v>126</v>
      </c>
      <c r="K5" s="53" t="s">
        <v>127</v>
      </c>
    </row>
    <row r="6" spans="1:11" ht="43.5" x14ac:dyDescent="0.35">
      <c r="B6" s="53" t="s">
        <v>300</v>
      </c>
      <c r="C6" s="53" t="s">
        <v>120</v>
      </c>
      <c r="D6" s="53" t="s">
        <v>121</v>
      </c>
      <c r="E6" s="53" t="s">
        <v>122</v>
      </c>
      <c r="F6" s="53" t="s">
        <v>123</v>
      </c>
      <c r="G6" s="53" t="s">
        <v>123</v>
      </c>
      <c r="H6" s="53" t="s">
        <v>124</v>
      </c>
      <c r="I6" s="53" t="s">
        <v>125</v>
      </c>
      <c r="J6" s="53" t="s">
        <v>126</v>
      </c>
      <c r="K6" s="53" t="s">
        <v>127</v>
      </c>
    </row>
    <row r="7" spans="1:11" ht="29" x14ac:dyDescent="0.35">
      <c r="B7" s="53" t="s">
        <v>128</v>
      </c>
      <c r="C7" s="53" t="s">
        <v>120</v>
      </c>
      <c r="D7" s="53" t="s">
        <v>121</v>
      </c>
      <c r="E7" s="53" t="s">
        <v>122</v>
      </c>
      <c r="F7" s="53" t="s">
        <v>123</v>
      </c>
      <c r="G7" s="53" t="s">
        <v>123</v>
      </c>
      <c r="H7" s="53" t="s">
        <v>124</v>
      </c>
      <c r="I7" s="53" t="s">
        <v>125</v>
      </c>
      <c r="J7" s="53" t="s">
        <v>126</v>
      </c>
      <c r="K7" s="53" t="s">
        <v>127</v>
      </c>
    </row>
  </sheetData>
  <mergeCells count="1">
    <mergeCell ref="B2:K2"/>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8845BB575DE524BB354087CD97EC0EE" ma:contentTypeVersion="13" ma:contentTypeDescription="Create a new document." ma:contentTypeScope="" ma:versionID="31cff6d85d32ef1bef806f181288d9a9">
  <xsd:schema xmlns:xsd="http://www.w3.org/2001/XMLSchema" xmlns:xs="http://www.w3.org/2001/XMLSchema" xmlns:p="http://schemas.microsoft.com/office/2006/metadata/properties" xmlns:ns2="dfb3a7f1-2ef7-4800-91d5-236941e7a7ae" xmlns:ns3="bd03311f-b4d5-412f-a1f2-919bc03e4af9" targetNamespace="http://schemas.microsoft.com/office/2006/metadata/properties" ma:root="true" ma:fieldsID="a511a507a0bdb41b64a9b8ae4ab3e67f" ns2:_="" ns3:_="">
    <xsd:import namespace="dfb3a7f1-2ef7-4800-91d5-236941e7a7ae"/>
    <xsd:import namespace="bd03311f-b4d5-412f-a1f2-919bc03e4af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b3a7f1-2ef7-4800-91d5-236941e7a7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03311f-b4d5-412f-a1f2-919bc03e4af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8F4249-B9AC-4703-B8CE-D0038464C7E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1CEE09E-D0C9-448C-9947-9B9E4DF04686}">
  <ds:schemaRefs>
    <ds:schemaRef ds:uri="http://schemas.microsoft.com/sharepoint/v3/contenttype/forms"/>
  </ds:schemaRefs>
</ds:datastoreItem>
</file>

<file path=customXml/itemProps3.xml><?xml version="1.0" encoding="utf-8"?>
<ds:datastoreItem xmlns:ds="http://schemas.openxmlformats.org/officeDocument/2006/customXml" ds:itemID="{7BC56854-E691-4EC6-87FC-2F47A6615A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b3a7f1-2ef7-4800-91d5-236941e7a7ae"/>
    <ds:schemaRef ds:uri="bd03311f-b4d5-412f-a1f2-919bc03e4a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Document Control</vt:lpstr>
      <vt:lpstr>Parameter</vt:lpstr>
      <vt:lpstr>Risk Register</vt:lpstr>
      <vt:lpstr>Risk Acceptance Criteria</vt:lpstr>
      <vt:lpstr>Control Score</vt:lpstr>
      <vt:lpstr>Positive Risks - Opportunities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Roshan Tawar</dc:creator>
  <cp:keywords/>
  <dc:description/>
  <cp:lastModifiedBy>HD</cp:lastModifiedBy>
  <cp:revision/>
  <dcterms:created xsi:type="dcterms:W3CDTF">2019-09-18T11:39:12Z</dcterms:created>
  <dcterms:modified xsi:type="dcterms:W3CDTF">2026-04-27T12:12:15Z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0x010100B8845BB575DE524BB354087CD97EC0EE</vt:lpwstr>
  </property>
</Properties>
</file>